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27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mxd\2026设采伐计打印框架原始\设计模版\"/>
    </mc:Choice>
  </mc:AlternateContent>
  <bookViews>
    <workbookView xWindow="-120" yWindow="-120" windowWidth="29040" windowHeight="15840" tabRatio="908"/>
  </bookViews>
  <sheets>
    <sheet name="树高方程输入" sheetId="29" r:id="rId27"/>
    <sheet name="树种材积库" sheetId="64" state="veryHidden" r:id="rId41"/>
    <sheet name="树种材积库输入" sheetId="82" state="veryHidden" r:id="rId42"/>
    <sheet name="速丰株" sheetId="70" state="veryHidden" r:id="rId43"/>
    <sheet name="用材株" sheetId="69" state="veryHidden" r:id="rId44"/>
    <sheet name="公益林株" sheetId="73" state="veryHidden" r:id="rId45"/>
    <sheet name="大径材株" sheetId="71" state="veryHidden" r:id="rId46"/>
    <sheet name="抚育株" sheetId="72" state="veryHidden" r:id="rId47"/>
  </sheets>
  <definedNames>
    <definedName name="_10cm_1440_1680_株">速丰株!$B$4:$G$4</definedName>
    <definedName name="_12cm_1200_1410_株">速丰株!$B$5:$G$5</definedName>
    <definedName name="_14cm_1020_1170_株">速丰株!$B$6:$G$6</definedName>
    <definedName name="_16cm_870_1020_株">速丰株!$B$7:$G$7</definedName>
    <definedName name="_18cm_780_960_株">速丰株!$B$8:$G$8</definedName>
    <definedName name="_20cm_720_840_株">速丰株!$B$9:$G$9</definedName>
    <definedName name="_22cm_660_810_株">速丰株!$B$10:$G$10</definedName>
    <definedName name="_24cm_600_750_株">速丰株!$B$11:$G$11</definedName>
    <definedName name="_26cm以上_540株">速丰株!$B$12:$G$12</definedName>
    <definedName name="_6cm_1260_1500_株">用材株!$C$3:$C$14</definedName>
    <definedName name="_6cm_1590_2100_株">用材株!$G$3:$G$14</definedName>
    <definedName name="_6cm_1650_2550_株">用材株!$F$3:$F$14</definedName>
    <definedName name="_6cm_1710_2250_株">用材株!$D$3:$D$14</definedName>
    <definedName name="_6cm_1800_2700_株">用材株!$I$3:$I$14</definedName>
    <definedName name="_6cm_1830_2370_株">用材株!$J$3:$J$14</definedName>
    <definedName name="_6cm_2010_2700_株">用材株!$K$3:$K$14</definedName>
    <definedName name="_6cm_2100_2700_株">用材株!$B$3:$B$14</definedName>
    <definedName name="_6cm_2280_2670_株">速丰株!$B$2:$G$2</definedName>
    <definedName name="_6cm_2400_3060_株">用材株!$H$3:$H$14</definedName>
    <definedName name="_6cm_330_540_株">用材株!$N$3:$N$14</definedName>
    <definedName name="_6cm_420_840_株">用材株!$M$3:$M$14</definedName>
    <definedName name="_8cm_1800_2070_株">速丰株!$B$3:$G$3</definedName>
    <definedName name="白桦速生丰产林">速丰株!$E$2:$E$12</definedName>
    <definedName name="刺槐">树种材积库!$E$2:$E$34</definedName>
    <definedName name="刺槐_大径材">大径材株!$G$2:$G$15</definedName>
    <definedName name="刺槐大径材">大径材株!$G$2:$G$15</definedName>
    <definedName name="刺槐公益林">公益林株!$B$2:$B$15</definedName>
    <definedName name="刺槐一般用材林">用材株!$K$2:$K$15</definedName>
    <definedName name="大径材">抚育株!$B$2:$O$2</definedName>
    <definedName name="公益林组">抚育株!$B$5:$O$5</definedName>
    <definedName name="红松大径材">抚育株!$C$2:$O$2</definedName>
    <definedName name="红松公益林">公益林株!$H$2:$H$15</definedName>
    <definedName name="红松速生丰产林">抚育株!$C$4:$O$4</definedName>
    <definedName name="红松一般用材林">用材株!$A$2:$A$15</definedName>
    <definedName name="栎柞大径材">大径材株!$E$2:$E$15</definedName>
    <definedName name="栎柞类公益林">公益林株!$L$2:$L$15</definedName>
    <definedName name="栎柞一般用材林">用材株!$E$2:$E$15</definedName>
    <definedName name="柳树">树种材积库!$D$2:$D$34</definedName>
    <definedName name="落叶松大径材">大径材株!$B$2:$B$15</definedName>
    <definedName name="落叶松公益林">公益林株!$I$2:$I$15</definedName>
    <definedName name="落叶松一般用材林">用材株!$B$2:$B$15</definedName>
    <definedName name="慢生杨树组一般用材林">用材株!$L$2:$L$15</definedName>
    <definedName name="欧美杨">树种材积库!$B$2:$B$34</definedName>
    <definedName name="日本落叶松速生丰产林">速丰株!$F$2:$F$12</definedName>
    <definedName name="软阔叶林公益林">公益林株!$N$2:$N$15</definedName>
    <definedName name="软阔叶林一般用材林">用材株!$H$2:$H$15</definedName>
    <definedName name="山杏公益林">公益林株!$C$2:$C$15</definedName>
    <definedName name="速生丰产林">抚育株!$B$4:$O$4</definedName>
    <definedName name="速生杨树组大径材">大径材株!$I$2:$I$15</definedName>
    <definedName name="速生杨树组公益林">公益林株!$F$2:$F$15</definedName>
    <definedName name="速生杨树组速生丰产林">速丰株!$C$2:$C$12</definedName>
    <definedName name="速生杨树组一般用材林">用材株!$N$2:$N$15</definedName>
    <definedName name="无">树种材积库!$I$2:$I$34</definedName>
    <definedName name="杨桦林_大径材">大径材株!$J$2:$J$15</definedName>
    <definedName name="杨桦林大径材">大径材株!$J$2:$J$15</definedName>
    <definedName name="杨桦林公益林">公益林株!$D$2:$D$15</definedName>
    <definedName name="杨桦林一般用材林">用材株!$I$2:$I$15</definedName>
    <definedName name="杨树">树种材积库!$C$2:$C$34</definedName>
    <definedName name="一般用材林">抚育株!$B$3:$O$3</definedName>
    <definedName name="硬阔叶林_大径材">大径材株!$F$2:$F$15</definedName>
    <definedName name="硬阔叶林公益林">公益林株!$M$2:$M$15</definedName>
    <definedName name="硬阔叶林一般用材林">用材株!$F$2:$F$15</definedName>
    <definedName name="油松">树种材积库!$H$2:$H$34</definedName>
    <definedName name="油松_一般用材林">用材株!$D$2:$D$15</definedName>
    <definedName name="油松大径材">大径材株!$D$2:$D$15</definedName>
    <definedName name="油松公益林">公益林株!$K$2:$K$15</definedName>
    <definedName name="榆树">树种材积库!$F$2:$F$34</definedName>
    <definedName name="云冷杉_速生丰产林">速丰株!$D$2:$D$12</definedName>
    <definedName name="云冷杉速生丰产林">速丰株!$D$2:$D$12</definedName>
    <definedName name="杂木">树种材积库!$G$2:$G$34</definedName>
    <definedName name="杂木林公益林">公益林株!$A$2:$A$15</definedName>
    <definedName name="杂木林一般用材林">用材株!$J$2:$J$15</definedName>
    <definedName name="樟子松大径材">大径材株!$C$2:$C$15</definedName>
    <definedName name="樟子松公益林">公益林株!$J$2:$J$15</definedName>
    <definedName name="樟子松一般用材林">用材株!$C$2:$C$15</definedName>
    <definedName name="长白落叶松速生丰产林">速丰株!$G$2:$G$12</definedName>
    <definedName name="针阔混交林_一般用材林">用材株!$G$2:$G$15</definedName>
    <definedName name="针阔混交林公益林">公益林株!$G$2:$G$15</definedName>
    <definedName name="针阔混交用材林">用材株!$G$2:$G$15</definedName>
    <definedName name="中生杨树组_速生丰产林">速丰株!$B$2:$B$12</definedName>
    <definedName name="中生杨树组大径材">大径材株!$H$2:$H$15</definedName>
    <definedName name="中生杨树组公益林">公益林株!$E$2:$E$15</definedName>
    <definedName name="中生杨树组一般用材林">用材株!$M$2:$M$15</definedName>
  </definedNames>
  <calcPr calcId="162913"/>
</workbook>
</file>

<file path=xl/sharedStrings.xml><?xml version="1.0" encoding="utf-8"?>
<sst xmlns="http://schemas.openxmlformats.org/spreadsheetml/2006/main" count="597" uniqueCount="597">
  <si>
    <t>欧美杨</t>
  </si>
  <si>
    <t>杨树</t>
  </si>
  <si>
    <t>柳树</t>
  </si>
  <si>
    <t>刺槐</t>
  </si>
  <si>
    <t>榆树</t>
  </si>
  <si>
    <t>杂木</t>
  </si>
  <si>
    <t>油松</t>
  </si>
  <si>
    <t>采用树高</t>
  </si>
  <si>
    <t>胸径</t>
  </si>
  <si>
    <t>d1.3输入</t>
  </si>
  <si>
    <t>h输入</t>
  </si>
  <si>
    <t>固定kb求a</t>
  </si>
  <si>
    <t>一元树高</t>
  </si>
  <si>
    <t>下限</t>
  </si>
  <si>
    <t>采用常数</t>
  </si>
  <si>
    <t>a=</t>
  </si>
  <si>
    <t>K=</t>
  </si>
  <si>
    <t>树高方程模型</t>
  </si>
  <si>
    <r>
      <rPr>
        <sz val="11"/>
        <color theme="1"/>
        <rFont val="宋体"/>
        <family val="3"/>
        <charset val="134"/>
        <scheme val="minor"/>
      </rPr>
      <t>H=a-K/</t>
    </r>
    <r>
      <rPr>
        <vertAlign val="subscript"/>
        <sz val="11"/>
        <color theme="1"/>
        <rFont val="宋体"/>
        <family val="3"/>
        <charset val="134"/>
        <scheme val="minor"/>
      </rPr>
      <t>d1.3</t>
    </r>
    <r>
      <rPr>
        <sz val="11"/>
        <color theme="1"/>
        <rFont val="宋体"/>
        <family val="3"/>
        <charset val="134"/>
        <scheme val="minor"/>
      </rPr>
      <t>+b</t>
    </r>
  </si>
  <si>
    <t>b=</t>
  </si>
  <si>
    <t>树高区间</t>
  </si>
  <si>
    <t>H平均</t>
  </si>
  <si>
    <t>A值</t>
  </si>
  <si>
    <t>平均</t>
  </si>
  <si>
    <t>径级</t>
  </si>
  <si>
    <t>杨采用树高</t>
  </si>
  <si>
    <t xml:space="preserve">7～8 </t>
  </si>
  <si>
    <t xml:space="preserve">8～9 </t>
  </si>
  <si>
    <t>注：红松：包括华山松、云杉、冷杉等；落叶松：包括日本落叶松、长白落叶松等；油松：包括赤松、黑松等；栎（柞）类：包括蒙古栎、辽东栎、麻栎等；硬阔叶林：包括水曲柳、胡桃楸、黄檗、色木、榆树等；针阔混交林：指人工栽植的针阔叶树种构成的混交林及天然次生林抚育（改造、改培）“栽针保阔”后所形成的人工红松、云杉、油松等针叶树种与天然阔叶树的混交林。</t>
  </si>
  <si>
    <t xml:space="preserve">注：软阔叶林：包括柳、桦、赤杨、椴树等树种组成的混交林；杨桦林：包括以小叶杨、小青杨、香杨、大青杨、青杨、山杨、柳等乡土杨柳树种、桦树为优势树种的纯林和混交林；杂木林：指由优势树种不明显的阔叶树组成的天然次生林；慢生杨树组：小叶杨、小青杨、香杨、大青杨、青杨、山杨、柳等乡土树种；中生杨树组：包括小钻杨、北京杨、群众杨、赤峰杨、银中杨、新疆杨等；速生杨树组：包括毛白杨、辽宁杨、中荷64号杨、沙兰杨、I-214杨、渤丰1号杨、渤丰3号杨、渤丰4号杨、中辽1号杨、欧
美杨177、新林1号杨、84K杨、辽河杨、盖杨、荷兰3930杨、辽育1号杨、辽育2号杨、辽育3号杨、中绥12号杨等。 
</t>
    <phoneticPr fontId="93" type="noConversion"/>
  </si>
  <si>
    <t>注：中生杨树组：包括小钻杨、北京杨、群众杨、赤峰杨、银中杨、新疆杨等；速生杨树组：包括毛白杨、辽宁杨、中荷64号杨、沙兰杨、I-214杨、渤丰1号杨、渤丰3号</t>
  </si>
  <si>
    <t xml:space="preserve">杨、渤丰4号杨、中辽1号杨、欧美杨177、新林1号杨、84K杨、辽河杨、盖杨、荷兰3930杨、辽育1号杨、辽育2号杨、辽育3号杨、中绥12号杨等。 </t>
  </si>
  <si>
    <t>6cm:2280～2670 株</t>
  </si>
  <si>
    <t>6cm:2910～3300 株</t>
  </si>
  <si>
    <t>6cm:2220～2610 株</t>
  </si>
  <si>
    <t>6cm:2730～2970 株</t>
  </si>
  <si>
    <t>6cm:2250～2580 株</t>
  </si>
  <si>
    <t>6cm:270～400 株</t>
  </si>
  <si>
    <t>6cm:240～330 株</t>
  </si>
  <si>
    <t>8cm:1800～2070 株</t>
  </si>
  <si>
    <t>8cm:2130～2400 株</t>
  </si>
  <si>
    <t>8cm:1740～2070 株</t>
  </si>
  <si>
    <t>8cm:2310～2520 株</t>
  </si>
  <si>
    <t>8cm:1740～2010 株</t>
  </si>
  <si>
    <t>8cm:270～400 株</t>
  </si>
  <si>
    <t>8cm:240～330 株</t>
  </si>
  <si>
    <t>10cm:1440～1680 株</t>
  </si>
  <si>
    <t>10cm:1680～1860 株</t>
  </si>
  <si>
    <t>10cm:1410～1650 株</t>
  </si>
  <si>
    <t>10cm:1950～2130 株</t>
  </si>
  <si>
    <t>10cm:1200～1380 株</t>
  </si>
  <si>
    <t>10cm:270～400 株</t>
  </si>
  <si>
    <t>10cm:240～330 株</t>
  </si>
  <si>
    <t>12cm:1200～1410 株</t>
  </si>
  <si>
    <t>12cm:1380～1500 株</t>
  </si>
  <si>
    <t>12cm:1200～1350 株</t>
  </si>
  <si>
    <t>12cm:1650～1800 株</t>
  </si>
  <si>
    <t>12cm:990～1140 株</t>
  </si>
  <si>
    <t>12cm:270～400 株</t>
  </si>
  <si>
    <t>12cm:240～330 株</t>
  </si>
  <si>
    <t>14cm:1020～1170 株</t>
  </si>
  <si>
    <t>14cm:1170～1260 株</t>
  </si>
  <si>
    <t>14cm:1020～1140 株</t>
  </si>
  <si>
    <t>14cm:1350～1500 株</t>
  </si>
  <si>
    <t>14cm:810～930 株</t>
  </si>
  <si>
    <t>14cm:270～400 株</t>
  </si>
  <si>
    <t>14cm:240～330 株</t>
  </si>
  <si>
    <t>16cm:870～1020 株</t>
  </si>
  <si>
    <t>16cm:990～1080 株</t>
  </si>
  <si>
    <t>16cm:900～1030 株</t>
  </si>
  <si>
    <t>16cm:1110～1230 株</t>
  </si>
  <si>
    <t>16cm:690～780 株</t>
  </si>
  <si>
    <t>16cm:270～400 株</t>
  </si>
  <si>
    <t>16cm:240～330 株</t>
  </si>
  <si>
    <t>18cm:780～960 株</t>
  </si>
  <si>
    <t>18cm:870～930 株</t>
  </si>
  <si>
    <t>18cm:810～960 株</t>
  </si>
  <si>
    <t>18cm:870～990 株</t>
  </si>
  <si>
    <t>18cm:600～690 株</t>
  </si>
  <si>
    <t>18cm:270～400 株</t>
  </si>
  <si>
    <t>18cm:240～330 株</t>
  </si>
  <si>
    <t>20cm:720～840 株</t>
  </si>
  <si>
    <t>20cm:780～810 株</t>
  </si>
  <si>
    <t>20cm:690～780 株</t>
  </si>
  <si>
    <t>20cm:420～510 株</t>
  </si>
  <si>
    <t>20cm:270～400 株</t>
  </si>
  <si>
    <t>20cm:240～330 株</t>
  </si>
  <si>
    <t>22cm:660～810 株</t>
  </si>
  <si>
    <t>22cm:630～780 株</t>
  </si>
  <si>
    <t>22cm:630～690 株</t>
  </si>
  <si>
    <t>22cm:380～420 株</t>
  </si>
  <si>
    <t>22cm:270～400 株</t>
  </si>
  <si>
    <t>22cm:240～330 株</t>
  </si>
  <si>
    <t>24cm:600～750 株</t>
  </si>
  <si>
    <t>24cm:550～690 株</t>
  </si>
  <si>
    <t>24cm:550～700 株</t>
  </si>
  <si>
    <t>24cm:570～600 株</t>
  </si>
  <si>
    <t>24cm:340～380 株</t>
  </si>
  <si>
    <t>24cm:270～400 株</t>
  </si>
  <si>
    <t>24cm:240～330 株</t>
  </si>
  <si>
    <t>26cm以上:540株</t>
  </si>
  <si>
    <t>26cm以上:300株</t>
  </si>
  <si>
    <t>26cm以上:270株</t>
  </si>
  <si>
    <t>26cm以上:240株</t>
  </si>
  <si>
    <t>红松速生丰产林</t>
    <phoneticPr fontId="93" type="noConversion"/>
  </si>
  <si>
    <t>中生杨树组 速生丰产林</t>
    <phoneticPr fontId="93" type="noConversion"/>
  </si>
  <si>
    <t xml:space="preserve">速生杨树组速生丰产林 </t>
    <phoneticPr fontId="93" type="noConversion"/>
  </si>
  <si>
    <t xml:space="preserve">白桦速生丰产林 </t>
    <phoneticPr fontId="93" type="noConversion"/>
  </si>
  <si>
    <t>长白落叶松速生丰产林</t>
    <phoneticPr fontId="93" type="noConversion"/>
  </si>
  <si>
    <t>日本落叶松速生丰产林</t>
    <phoneticPr fontId="93" type="noConversion"/>
  </si>
  <si>
    <t xml:space="preserve">落叶松一般用材林 </t>
    <phoneticPr fontId="93" type="noConversion"/>
  </si>
  <si>
    <t xml:space="preserve">樟子松一般用材林 </t>
    <phoneticPr fontId="93" type="noConversion"/>
  </si>
  <si>
    <t>油松 一般用材林</t>
    <phoneticPr fontId="93" type="noConversion"/>
  </si>
  <si>
    <t xml:space="preserve">栎（柞）一般用材林 </t>
    <phoneticPr fontId="93" type="noConversion"/>
  </si>
  <si>
    <t xml:space="preserve">硬阔叶林一般用材林 </t>
    <phoneticPr fontId="93" type="noConversion"/>
  </si>
  <si>
    <t xml:space="preserve">软阔叶林一般用材林 </t>
    <phoneticPr fontId="93" type="noConversion"/>
  </si>
  <si>
    <t xml:space="preserve">杨桦林一般用材林 </t>
    <phoneticPr fontId="93" type="noConversion"/>
  </si>
  <si>
    <t xml:space="preserve">杂木林一般用材林 </t>
    <phoneticPr fontId="93" type="noConversion"/>
  </si>
  <si>
    <t xml:space="preserve">刺槐一般用材林 </t>
    <phoneticPr fontId="93" type="noConversion"/>
  </si>
  <si>
    <t xml:space="preserve">慢生杨树组一般用材林 </t>
    <phoneticPr fontId="93" type="noConversion"/>
  </si>
  <si>
    <t xml:space="preserve">中生杨树组一般用材林 </t>
    <phoneticPr fontId="93" type="noConversion"/>
  </si>
  <si>
    <t xml:space="preserve">速生杨树组一般用材林 </t>
    <phoneticPr fontId="93" type="noConversion"/>
  </si>
  <si>
    <t xml:space="preserve">红松一般用材林 </t>
    <phoneticPr fontId="93" type="noConversion"/>
  </si>
  <si>
    <t>6cm:1650～2100 株</t>
  </si>
  <si>
    <t>6cm:2100～2700 株</t>
  </si>
  <si>
    <t>6cm:1260～1500 株</t>
  </si>
  <si>
    <t>6cm:1710～2250 株</t>
  </si>
  <si>
    <t>6cm:1890～2340 株</t>
  </si>
  <si>
    <t>6cm:1650～2550 株</t>
  </si>
  <si>
    <t>6cm:1590～2100 株</t>
  </si>
  <si>
    <t>6cm:2400～3060 株</t>
  </si>
  <si>
    <t>6cm:1800～2700 株</t>
  </si>
  <si>
    <t>6cm:1830～2370 株</t>
  </si>
  <si>
    <t>6cm:2010～2700 株</t>
  </si>
  <si>
    <t>6cm:1680～2100 株</t>
  </si>
  <si>
    <t>6cm:420～840 株</t>
  </si>
  <si>
    <t>6cm:330～540 株</t>
  </si>
  <si>
    <t>8cm :1440～1800 株</t>
  </si>
  <si>
    <t>8cm :1650～2100 株</t>
  </si>
  <si>
    <t>8cm :1020～1200 株</t>
  </si>
  <si>
    <t>8cm :1500～1710 株</t>
  </si>
  <si>
    <t>8cm :1530～1890 株</t>
  </si>
  <si>
    <t>8cm :1320～1650 株</t>
  </si>
  <si>
    <t>8cm :1110～1710 株</t>
  </si>
  <si>
    <t>8cm :1800～2100 株</t>
  </si>
  <si>
    <t>8cm :1440～1950 株</t>
  </si>
  <si>
    <t>8cm :1470～1830 株</t>
  </si>
  <si>
    <t>8cm :1540～2100 株</t>
  </si>
  <si>
    <t>8cm :1680～2100 株</t>
  </si>
  <si>
    <t>8cm :420～840 株</t>
  </si>
  <si>
    <t>8cm :330～540 株</t>
  </si>
  <si>
    <t>10cm:1200～1500 株</t>
  </si>
  <si>
    <t>10cm:810～960 株</t>
  </si>
  <si>
    <t>10cm:1230～1500 株</t>
  </si>
  <si>
    <t>10cm:1260～1590 株</t>
  </si>
  <si>
    <t>10cm:1150～1320 株</t>
  </si>
  <si>
    <t>10cm:930～1320 株</t>
  </si>
  <si>
    <t>10cm:1320～1890 株</t>
  </si>
  <si>
    <t>10cm:1290～1560 株</t>
  </si>
  <si>
    <t>10cm:1170～1470 株</t>
  </si>
  <si>
    <t>10cm:1200～1540 株</t>
  </si>
  <si>
    <t>10cm:840～1050 株</t>
  </si>
  <si>
    <t>10cm:420～840 株</t>
  </si>
  <si>
    <t>10cm:330～540 株</t>
  </si>
  <si>
    <t>12cm:1080～1320 株</t>
  </si>
  <si>
    <t>12cm:1050～1380 株</t>
  </si>
  <si>
    <t>12cm:630～750 株</t>
  </si>
  <si>
    <t>12cm:1050～1200 株</t>
  </si>
  <si>
    <t>12cm:960～1200 株</t>
  </si>
  <si>
    <t>12cm:870～1110 株</t>
  </si>
  <si>
    <t>12cm:1110～1410 株</t>
  </si>
  <si>
    <t>12cm:1020～1260 株</t>
  </si>
  <si>
    <t>12cm:990～1170 株</t>
  </si>
  <si>
    <t>12cm:930～1200 株</t>
  </si>
  <si>
    <t>12cm:840～1050 株</t>
  </si>
  <si>
    <t>12cm:420～840 株</t>
  </si>
  <si>
    <t>12cm:330～540 株</t>
  </si>
  <si>
    <t>14cm:900～1110 株</t>
  </si>
  <si>
    <t>14cm:960～1140 株</t>
  </si>
  <si>
    <t>14cm:510～600 株</t>
  </si>
  <si>
    <t>14cm:840～1050 株</t>
  </si>
  <si>
    <t>14cm:810～1050 株</t>
  </si>
  <si>
    <t>14cm:990～1200 株</t>
  </si>
  <si>
    <t>14cm:930～1170 株</t>
  </si>
  <si>
    <t>14cm:810～990 株</t>
  </si>
  <si>
    <t>14cm:720～930 株</t>
  </si>
  <si>
    <t>14cm:420～510 株</t>
  </si>
  <si>
    <t>14cm:420～840 株</t>
  </si>
  <si>
    <t>14cm:330～540 株</t>
  </si>
  <si>
    <t>16cm:750～960 株</t>
  </si>
  <si>
    <t>16cm:810～1050 株</t>
  </si>
  <si>
    <t>16cm:330～390 株</t>
  </si>
  <si>
    <t>16cm:720～840 株</t>
  </si>
  <si>
    <t>16cm:780～990 株</t>
  </si>
  <si>
    <t>16cm:750～900 株</t>
  </si>
  <si>
    <t>16cm:750～930 株</t>
  </si>
  <si>
    <t>16cm:870～960 株</t>
  </si>
  <si>
    <t>16cm:810～1080 株</t>
  </si>
  <si>
    <t>16cm:720～810 株</t>
  </si>
  <si>
    <t>16cm:600～720 株</t>
  </si>
  <si>
    <t>16cm:420～510 株</t>
  </si>
  <si>
    <t>16cm:420～840 株</t>
  </si>
  <si>
    <t>16cm:330～540 株</t>
  </si>
  <si>
    <t>18cm:690～840 株</t>
  </si>
  <si>
    <t>18cm:750～960 株</t>
  </si>
  <si>
    <t>18cm:330～390 株</t>
  </si>
  <si>
    <t>18cm:630～720 株</t>
  </si>
  <si>
    <t>18cm:660～870 株</t>
  </si>
  <si>
    <t>18cm:660～810 株</t>
  </si>
  <si>
    <t>18cm:780～820 株</t>
  </si>
  <si>
    <t>18cm:690～960 株</t>
  </si>
  <si>
    <t>18cm:540～600 株</t>
  </si>
  <si>
    <t>18cm:420～510 株</t>
  </si>
  <si>
    <t>18cm:420～840 株</t>
  </si>
  <si>
    <t>18cm:330～540 株</t>
  </si>
  <si>
    <t>20cm:600～750 株</t>
  </si>
  <si>
    <t>20cm:690～870 株</t>
  </si>
  <si>
    <t>20cm:330～390 株</t>
  </si>
  <si>
    <t>20cm:570～630 株</t>
  </si>
  <si>
    <t>20cm:630～750 株</t>
  </si>
  <si>
    <t>20cm:600～720 株</t>
  </si>
  <si>
    <t>20cm:600～870 株</t>
  </si>
  <si>
    <t>20cm:510～540 株</t>
  </si>
  <si>
    <t>20cm:420～840 株</t>
  </si>
  <si>
    <t>20cm:330～540 株</t>
  </si>
  <si>
    <t>22cm:540～690 株</t>
  </si>
  <si>
    <t>22cm:630～750 株</t>
  </si>
  <si>
    <t>22cm:300～330 株</t>
  </si>
  <si>
    <t>22cm:480～540 株</t>
  </si>
  <si>
    <t>22cm:540～660 株</t>
  </si>
  <si>
    <t>22cm:570～690 株</t>
  </si>
  <si>
    <t>22cm:510～600 株</t>
  </si>
  <si>
    <t>22cm:510～690 株</t>
  </si>
  <si>
    <t>22cm:510～570 株</t>
  </si>
  <si>
    <t>22cm:450～510 株</t>
  </si>
  <si>
    <t>22cm:420～510 株</t>
  </si>
  <si>
    <t>22cm:420～840 株</t>
  </si>
  <si>
    <t>22cm:330～540 株</t>
  </si>
  <si>
    <t>24cm:480～600 株</t>
  </si>
  <si>
    <t>24cm:570～660 株</t>
  </si>
  <si>
    <t>24cm:280～300 株</t>
  </si>
  <si>
    <t>24cm:450～480 株</t>
  </si>
  <si>
    <t>24cm:510～630 株</t>
  </si>
  <si>
    <t>24cm:510～600 株</t>
  </si>
  <si>
    <t>24cm:450～540 株</t>
  </si>
  <si>
    <t>24cm:450～570 株</t>
  </si>
  <si>
    <t>24cm:450～510 株</t>
  </si>
  <si>
    <t>24cm:420～480 株</t>
  </si>
  <si>
    <t>24cm:390～405 株</t>
  </si>
  <si>
    <t>24cm:420株</t>
  </si>
  <si>
    <t>24cm:330株</t>
  </si>
  <si>
    <t>26cm:420～540 株</t>
  </si>
  <si>
    <t>26cm:510～600 株</t>
  </si>
  <si>
    <t>26cm:260～280 株</t>
  </si>
  <si>
    <t>26cm:390～450 株</t>
  </si>
  <si>
    <t>26cm:480～600 株</t>
  </si>
  <si>
    <t>26cm:450～540 株</t>
  </si>
  <si>
    <t>26cm:450～510 株</t>
  </si>
  <si>
    <t>26cm:375～405 株</t>
  </si>
  <si>
    <t>26cm:405～420 株</t>
  </si>
  <si>
    <t>26cm:405～450 株</t>
  </si>
  <si>
    <t>26cm:350～405 株</t>
  </si>
  <si>
    <t>26cm:330～375 株</t>
  </si>
  <si>
    <t>26cm:－ 株</t>
  </si>
  <si>
    <t>28cm:360～480 株</t>
  </si>
  <si>
    <t>28cm:450～540 株</t>
  </si>
  <si>
    <t>28cm:240～260 株</t>
  </si>
  <si>
    <t>28cm:330～390 株</t>
  </si>
  <si>
    <t>28cm:350～450 株</t>
  </si>
  <si>
    <t>28cm:320～450 株</t>
  </si>
  <si>
    <t>28cm:390～450 株</t>
  </si>
  <si>
    <t>28cm:330～375 株</t>
  </si>
  <si>
    <t>28cm:345～375 株</t>
  </si>
  <si>
    <t>28cm:350～390 株</t>
  </si>
  <si>
    <t>28cm:300～350 株</t>
  </si>
  <si>
    <t>28cm:285～300 株</t>
  </si>
  <si>
    <t>28cm:－ 株</t>
  </si>
  <si>
    <t>30cm以上 :350株</t>
  </si>
  <si>
    <t>30cm以上 :375株</t>
  </si>
  <si>
    <t>30cm以上 :220株</t>
  </si>
  <si>
    <t>30cm以上 :300株</t>
  </si>
  <si>
    <t>30cm以上 :330株</t>
  </si>
  <si>
    <t>30cm以上 :315株</t>
  </si>
  <si>
    <t>30cm以上 :240株</t>
  </si>
  <si>
    <t>30cm以上 :－ 株</t>
  </si>
  <si>
    <t>最终目标树 150～195 株</t>
  </si>
  <si>
    <t>最终目标树 120～150 株</t>
  </si>
  <si>
    <t>最终目标树 － 株</t>
  </si>
  <si>
    <t xml:space="preserve">7～9 </t>
  </si>
  <si>
    <t xml:space="preserve">≥35cm </t>
  </si>
  <si>
    <t xml:space="preserve">≥32cm </t>
  </si>
  <si>
    <t xml:space="preserve">≥30cm </t>
  </si>
  <si>
    <t>注：红松：包括华山松、云杉、冷杉等；落叶松：包括日本落叶松、长白落叶松等；栎（柞）类：包括蒙古栎、辽东栎、麻栎等；硬阔叶林：包括水曲柳、胡桃楸、黄 檗、色木、榆树等；中生杨树组：包括小钻杨、北京杨、群众杨、赤峰杨、银中杨、新疆杨等；速生杨树组：包括毛白杨、辽宁杨、中荷64号杨、沙兰杨、I-214杨、渤丰1号杨、渤丰3号杨、渤丰4号杨、中辽1号杨、欧美杨177、新林1号杨、84K杨、辽河杨、盖杨、荷兰3930杨、辽育1号杨、辽育2号杨、辽育3号杨、中绥12号杨等；杨桦林：包括</t>
  </si>
  <si>
    <t xml:space="preserve">以小叶杨、小青杨、香杨、大青杨、青杨、山杨、柳等乡土杨柳树种、桦树为优势树种的纯林和混交林。 </t>
  </si>
  <si>
    <t xml:space="preserve">红松大径材 </t>
    <phoneticPr fontId="93" type="noConversion"/>
  </si>
  <si>
    <t xml:space="preserve">落叶松大径材 </t>
    <phoneticPr fontId="93" type="noConversion"/>
  </si>
  <si>
    <t xml:space="preserve">樟子松大径材 </t>
    <phoneticPr fontId="93" type="noConversion"/>
  </si>
  <si>
    <t xml:space="preserve">油松大径材 </t>
    <phoneticPr fontId="93" type="noConversion"/>
  </si>
  <si>
    <t>栎（柞）大径材</t>
    <phoneticPr fontId="93" type="noConversion"/>
  </si>
  <si>
    <t>硬阔叶林 大径材</t>
    <phoneticPr fontId="93" type="noConversion"/>
  </si>
  <si>
    <t xml:space="preserve">中生杨树组大径材 </t>
    <phoneticPr fontId="93" type="noConversion"/>
  </si>
  <si>
    <t xml:space="preserve">速生杨树组大径材 </t>
    <phoneticPr fontId="93" type="noConversion"/>
  </si>
  <si>
    <t>6cm：1650～2010 株</t>
  </si>
  <si>
    <t>6cm：1740～2100 株</t>
  </si>
  <si>
    <t>6cm：1200～1500 株</t>
  </si>
  <si>
    <t>6cm：1800～2100 株</t>
  </si>
  <si>
    <t>6cm：1890～2340 株</t>
  </si>
  <si>
    <t>6cm：1500～1770 株</t>
  </si>
  <si>
    <t>6cm：1530～2100 株</t>
  </si>
  <si>
    <t>6cm：270～400 株</t>
  </si>
  <si>
    <t>6cm：240～330 株</t>
  </si>
  <si>
    <t>6cm：1680～2100 株</t>
  </si>
  <si>
    <t>8cm：1440～1680 株</t>
  </si>
  <si>
    <t>8cm：1440～1650 株</t>
  </si>
  <si>
    <t>8cm：810～960 株</t>
  </si>
  <si>
    <t>8cm：1500～1800 株</t>
  </si>
  <si>
    <t>8cm：1530～1890 株</t>
  </si>
  <si>
    <t>8cm：1110～1320 株</t>
  </si>
  <si>
    <t>8cm：1170～1530 株</t>
  </si>
  <si>
    <t>8cm：270～400 株</t>
  </si>
  <si>
    <t>8cm：240～330 株</t>
  </si>
  <si>
    <t>8cm：840～1050 株</t>
  </si>
  <si>
    <t>10cm：1110～1260 株</t>
  </si>
  <si>
    <t>10cm：1140～1350 株</t>
  </si>
  <si>
    <t>10cm：510～600 株</t>
  </si>
  <si>
    <t>10cm：1230～1500 株</t>
  </si>
  <si>
    <t>10cm：1260～1590 株</t>
  </si>
  <si>
    <t>10cm：960～1100 株</t>
  </si>
  <si>
    <t>10cm：930～1160 株</t>
  </si>
  <si>
    <t>10cm：270～400 株</t>
  </si>
  <si>
    <t>10cm：240～330 株</t>
  </si>
  <si>
    <t>10cm：840～1050 株</t>
  </si>
  <si>
    <t>12cm：900～1020 株</t>
  </si>
  <si>
    <t>12cm：900～1050 株</t>
  </si>
  <si>
    <t>12cm：390～450 株</t>
  </si>
  <si>
    <t>12cm：1050～1350 株</t>
  </si>
  <si>
    <t>12cm：1080～1320 株</t>
  </si>
  <si>
    <t>12cm：840～930 株</t>
  </si>
  <si>
    <t>12cm：720～920 株</t>
  </si>
  <si>
    <t>12cm：270～400 株</t>
  </si>
  <si>
    <t>12cm：240～330 株</t>
  </si>
  <si>
    <t>12cm：420～510 株</t>
  </si>
  <si>
    <t>14cm：780～900 株</t>
  </si>
  <si>
    <t>14cm：750～870 株</t>
  </si>
  <si>
    <t>14cm：300～330 株</t>
  </si>
  <si>
    <t>14cm：780～1020 株</t>
  </si>
  <si>
    <t>14cm：900～1110 株</t>
  </si>
  <si>
    <t>14cm：780～840 株</t>
  </si>
  <si>
    <t>14cm：600～720 株</t>
  </si>
  <si>
    <t>14cm：270～400 株</t>
  </si>
  <si>
    <t>14cm：240～330 株</t>
  </si>
  <si>
    <t>14cm：420～510 株</t>
  </si>
  <si>
    <t>16cm：690～780 株</t>
  </si>
  <si>
    <t>16cm：690～750 株</t>
  </si>
  <si>
    <t>16cm：300株</t>
  </si>
  <si>
    <t>16cm：690～900 株</t>
  </si>
  <si>
    <t>16cm：750～900 株</t>
  </si>
  <si>
    <t>16cm：720～780 株</t>
  </si>
  <si>
    <t>16cm：540～600 株</t>
  </si>
  <si>
    <t>16cm：270～400 株</t>
  </si>
  <si>
    <t>16cm：240～330 株</t>
  </si>
  <si>
    <t>16cm：420～510 株</t>
  </si>
  <si>
    <t>18cm：600～690 株</t>
  </si>
  <si>
    <t>18cm：630～690 株</t>
  </si>
  <si>
    <t>18cm：300株</t>
  </si>
  <si>
    <t>18cm：570～780 株</t>
  </si>
  <si>
    <t>18cm：660～870 株</t>
  </si>
  <si>
    <t>18cm：540～690 株</t>
  </si>
  <si>
    <t>18cm：510～540 株</t>
  </si>
  <si>
    <t>18cm：270～400 株</t>
  </si>
  <si>
    <t>18cm：240～330 株</t>
  </si>
  <si>
    <t>18cm：420～510 株</t>
  </si>
  <si>
    <t>20cm：510～600 株</t>
  </si>
  <si>
    <t>20cm：540～630 株</t>
  </si>
  <si>
    <t>20cm：300株</t>
  </si>
  <si>
    <t>20cm：510～660 株</t>
  </si>
  <si>
    <t>20cm：600～740 株</t>
  </si>
  <si>
    <t>20cm：510～540 株</t>
  </si>
  <si>
    <t>20cm：450～510 株</t>
  </si>
  <si>
    <t>20cm：270～400 株</t>
  </si>
  <si>
    <t>20cm：240～330 株</t>
  </si>
  <si>
    <t>20cm：420～510 株</t>
  </si>
  <si>
    <t>22cm：450～510 株</t>
  </si>
  <si>
    <t>22cm：480～540 株</t>
  </si>
  <si>
    <t>22cm：300株</t>
  </si>
  <si>
    <t>22cm：450～570 株</t>
  </si>
  <si>
    <t>22cm：510～540 株</t>
  </si>
  <si>
    <t>22cm：390～450 株</t>
  </si>
  <si>
    <t>22cm：270～400 株</t>
  </si>
  <si>
    <t>22cm：240～330 株</t>
  </si>
  <si>
    <t>22cm：380～420 株</t>
  </si>
  <si>
    <t>24cm：390～450 株</t>
  </si>
  <si>
    <t>24cm：390～480 株</t>
  </si>
  <si>
    <t>24cm：300株</t>
  </si>
  <si>
    <t>24cm：410～510 株</t>
  </si>
  <si>
    <t>24cm：330～390 株</t>
  </si>
  <si>
    <t>24cm：270株</t>
  </si>
  <si>
    <t>24cm：240株</t>
  </si>
  <si>
    <t>24cm：340～380 株</t>
  </si>
  <si>
    <t>26cm：330～390 株</t>
  </si>
  <si>
    <t>26cm：360～420 株</t>
  </si>
  <si>
    <t>26cm：300株</t>
  </si>
  <si>
    <t>26cm：300～450 株</t>
  </si>
  <si>
    <t>26cm：380～400 株</t>
  </si>
  <si>
    <t>26cm：360～390 株</t>
  </si>
  <si>
    <t>26cm：300～360 株</t>
  </si>
  <si>
    <t>26cm：270株</t>
  </si>
  <si>
    <t>26cm：240株</t>
  </si>
  <si>
    <t>26cm：300～340 株</t>
  </si>
  <si>
    <t>28cm：310～360 株</t>
  </si>
  <si>
    <t>28cm：340～390 株</t>
  </si>
  <si>
    <t>28cm：300株</t>
  </si>
  <si>
    <t>28cm：250～360 株</t>
  </si>
  <si>
    <t>28cm：350～380 株</t>
  </si>
  <si>
    <t>28cm：340～360 株</t>
  </si>
  <si>
    <t>28cm：270～330 株</t>
  </si>
  <si>
    <t>28cm：270株</t>
  </si>
  <si>
    <t>28cm：240株</t>
  </si>
  <si>
    <t>28cm：260～300 株</t>
  </si>
  <si>
    <t>30cm以上 ：300株</t>
  </si>
  <si>
    <t>30cm以上 ：330株</t>
  </si>
  <si>
    <t>30cm以上 ：240株</t>
  </si>
  <si>
    <t>30cm以上 ：320株</t>
  </si>
  <si>
    <t>30cm以上 ：270株</t>
  </si>
  <si>
    <t>30cm以上 ：220株</t>
  </si>
  <si>
    <t>最终目标树 ：150～195 株</t>
  </si>
  <si>
    <t>最终目标树 ：150～210 株</t>
  </si>
  <si>
    <t>最终目标树 ：120～195 株</t>
  </si>
  <si>
    <t>最终目标树 ：150～225 株</t>
  </si>
  <si>
    <t>抚育目标</t>
    <phoneticPr fontId="93" type="noConversion"/>
  </si>
  <si>
    <t>大径材</t>
    <phoneticPr fontId="93" type="noConversion"/>
  </si>
  <si>
    <t>一般用材林</t>
    <phoneticPr fontId="93" type="noConversion"/>
  </si>
  <si>
    <t>速生丰产林</t>
    <phoneticPr fontId="93" type="noConversion"/>
  </si>
  <si>
    <t>针阔混交用材林</t>
    <phoneticPr fontId="93" type="noConversion"/>
  </si>
  <si>
    <t>刺槐大径材</t>
    <phoneticPr fontId="93" type="noConversion"/>
  </si>
  <si>
    <t>杨桦林大径材</t>
    <phoneticPr fontId="93" type="noConversion"/>
  </si>
  <si>
    <t xml:space="preserve">8～10 </t>
  </si>
  <si>
    <t>注：杂木林：指由优势树种不明显的阔叶树组成的天然次生林（阔叶混交林）；杨桦林：包括以小叶杨、小青杨、香杨、大青杨、青杨、山杨、柳等乡土杨柳树种、桦树为优势树种的纯林和混交林；中生杨树组：包括小钻杨、北京杨、群众杨、赤峰杨、银中杨、新疆杨等；速生杨树组：包括毛白杨、辽宁杨、中荷64号杨、沙兰杨、I-214杨、渤丰1号杨、渤丰3号杨、渤丰4号杨、中辽1号杨、欧美杨177、新林1号杨、84K杨、辽河杨、盖杨、荷兰3930杨、辽育1号杨、辽育2号杨、辽育3号杨、中绥12号杨等；针阔混</t>
  </si>
  <si>
    <t xml:space="preserve">交林：指人工栽植的针阔叶树种构成的混交林及天然次生林抚育（改造、改培）“栽针保阔”后所形成的人工红松、云杉、油松等针叶树种与天然阔叶树的混交林。 </t>
  </si>
  <si>
    <t>注：红松：包括华山松、云杉、冷杉等；落叶松：包括日本落叶松、长白落叶松等；油松：包括赤松、黑松等；栎（柞）类：包括蒙古栎、辽东栎、麻栎等；硬阔叶林：</t>
  </si>
  <si>
    <t xml:space="preserve">包括水曲柳、胡桃楸、黄檗、色木、榆树等；软阔叶林：包括柳、桦、赤杨、椴树等树种组成的混交林。 </t>
  </si>
  <si>
    <t>杂木林公益林</t>
    <phoneticPr fontId="93" type="noConversion"/>
  </si>
  <si>
    <t xml:space="preserve">刺槐公益林 </t>
    <phoneticPr fontId="93" type="noConversion"/>
  </si>
  <si>
    <t xml:space="preserve">山杏公益林 </t>
    <phoneticPr fontId="93" type="noConversion"/>
  </si>
  <si>
    <t xml:space="preserve">杨桦林公益林 </t>
    <phoneticPr fontId="93" type="noConversion"/>
  </si>
  <si>
    <t xml:space="preserve">中生杨树组公益林 </t>
    <phoneticPr fontId="93" type="noConversion"/>
  </si>
  <si>
    <t xml:space="preserve">速生杨树组公益林 </t>
    <phoneticPr fontId="93" type="noConversion"/>
  </si>
  <si>
    <t xml:space="preserve">针阔混交林公益林 </t>
    <phoneticPr fontId="93" type="noConversion"/>
  </si>
  <si>
    <t xml:space="preserve">红松公益林 </t>
    <phoneticPr fontId="93" type="noConversion"/>
  </si>
  <si>
    <t xml:space="preserve">落叶松公益林 </t>
    <phoneticPr fontId="93" type="noConversion"/>
  </si>
  <si>
    <t xml:space="preserve">樟子松公益林 </t>
    <phoneticPr fontId="93" type="noConversion"/>
  </si>
  <si>
    <t xml:space="preserve">油松公益林 </t>
    <phoneticPr fontId="93" type="noConversion"/>
  </si>
  <si>
    <t xml:space="preserve">栎（柞）类公益林 </t>
    <phoneticPr fontId="93" type="noConversion"/>
  </si>
  <si>
    <t xml:space="preserve">硬阔叶林公益林 </t>
    <phoneticPr fontId="93" type="noConversion"/>
  </si>
  <si>
    <t xml:space="preserve">软阔叶林公益林 </t>
    <phoneticPr fontId="93" type="noConversion"/>
  </si>
  <si>
    <t>6cm:840～1680 株</t>
  </si>
  <si>
    <t>6cm:660～1080 株</t>
  </si>
  <si>
    <t>6cm:1590～1710 株</t>
  </si>
  <si>
    <t>6cm:1650～1950 株</t>
  </si>
  <si>
    <t>6cm:1800～2250 株</t>
  </si>
  <si>
    <t>6cm:1890～2160 株</t>
  </si>
  <si>
    <t>6cm:1650～2040 株</t>
  </si>
  <si>
    <t>6cm:2010～2400 株</t>
  </si>
  <si>
    <t>8cm:840～1050 株</t>
  </si>
  <si>
    <t>8cm:840～1680 株</t>
  </si>
  <si>
    <t>8cm:660～1080 株</t>
  </si>
  <si>
    <t>8cm:1020～1230 株</t>
  </si>
  <si>
    <t>8cm:1200～1440 株</t>
  </si>
  <si>
    <t>8cm:1350～1590 株</t>
  </si>
  <si>
    <t>8cm:1020～1200 株</t>
  </si>
  <si>
    <t>8cm:1350～1710 株</t>
  </si>
  <si>
    <t>8cm:1410～1590 株</t>
  </si>
  <si>
    <t>8cm:1200～1500 株</t>
  </si>
  <si>
    <t>8cm:1440～1710 株</t>
  </si>
  <si>
    <t>10cm:840～1020 株</t>
  </si>
  <si>
    <t>10cm:990～1200 株</t>
  </si>
  <si>
    <t>10cm:1020～1260 株</t>
  </si>
  <si>
    <t>10cm:1110～1470 株</t>
  </si>
  <si>
    <t>10cm:1140～1380 株</t>
  </si>
  <si>
    <t>10cm:960～1200 株</t>
  </si>
  <si>
    <t>10cm:1140～1350 株</t>
  </si>
  <si>
    <t>12cm:420～510 株</t>
  </si>
  <si>
    <t>12cm:810～840 株</t>
  </si>
  <si>
    <t>12cm:810～990 株</t>
  </si>
  <si>
    <t>12cm:930～1050 株</t>
  </si>
  <si>
    <t>12cm:930～1260 株</t>
  </si>
  <si>
    <t>12cm:990～1100 株</t>
  </si>
  <si>
    <t>12cm:810～960 株</t>
  </si>
  <si>
    <t>12cm:960～1110 株</t>
  </si>
  <si>
    <t>14cm:750～810 株</t>
  </si>
  <si>
    <t>14cm:720～810 株</t>
  </si>
  <si>
    <t>14cm:810～960 株</t>
  </si>
  <si>
    <t>14cm:750～1050 株</t>
  </si>
  <si>
    <t>14cm:810～980 株</t>
  </si>
  <si>
    <t>14cm:870～950 株</t>
  </si>
  <si>
    <t>16cm:660～750 株</t>
  </si>
  <si>
    <t>16cm:630～720 株</t>
  </si>
  <si>
    <t>16cm:690～810 株</t>
  </si>
  <si>
    <t>16cm:630～840 株</t>
  </si>
  <si>
    <t>16cm:690～800 株</t>
  </si>
  <si>
    <t>16cm:660～740 株</t>
  </si>
  <si>
    <t>16cm:750～840 株</t>
  </si>
  <si>
    <t>18cm:570～660 株</t>
  </si>
  <si>
    <t>18cm:570～630 株</t>
  </si>
  <si>
    <t>18cm:540～720 株</t>
  </si>
  <si>
    <t>18cm:600～680 株</t>
  </si>
  <si>
    <t>18cm:570～650 株</t>
  </si>
  <si>
    <t>18cm:630～740 株</t>
  </si>
  <si>
    <t>20cm:510～570 株</t>
  </si>
  <si>
    <t>20cm:480～540 株</t>
  </si>
  <si>
    <t>20cm:540～600 株</t>
  </si>
  <si>
    <t>20cm:510～590 株</t>
  </si>
  <si>
    <t>20cm:510～560 株</t>
  </si>
  <si>
    <t>20cm:540～620 株</t>
  </si>
  <si>
    <t>22cm:460～500 株</t>
  </si>
  <si>
    <t>22cm:350～480 株</t>
  </si>
  <si>
    <t>22cm:400～540 株</t>
  </si>
  <si>
    <t>22cm:450～500 株</t>
  </si>
  <si>
    <t>22cm:390～500 株</t>
  </si>
  <si>
    <t>22cm:400～530 株</t>
  </si>
  <si>
    <t>24cm:270株</t>
  </si>
  <si>
    <t>24cm:240株</t>
  </si>
  <si>
    <t>24cm:400～450 株</t>
  </si>
  <si>
    <t>24cm:320～350 株</t>
  </si>
  <si>
    <t>24cm:360～400 株</t>
  </si>
  <si>
    <t>24cm:310～350 株</t>
  </si>
  <si>
    <t>24cm:340～390 株</t>
  </si>
  <si>
    <t>24cm:370～400 株</t>
  </si>
  <si>
    <t>26cm:300～340 株</t>
  </si>
  <si>
    <t>26cm:350～400 株</t>
  </si>
  <si>
    <t>26cm:280～320 株</t>
  </si>
  <si>
    <t>26cm:320～360 株</t>
  </si>
  <si>
    <t>26cm:270～310 株</t>
  </si>
  <si>
    <t>26cm:330～370 株</t>
  </si>
  <si>
    <t>28cm:260～300 株</t>
  </si>
  <si>
    <t>28cm:300～340 株</t>
  </si>
  <si>
    <t>28cm:240～280 株</t>
  </si>
  <si>
    <t>28cm:280～320 株</t>
  </si>
  <si>
    <t>28cm:230～270 株</t>
  </si>
  <si>
    <t>28cm:300～330 株</t>
  </si>
  <si>
    <t>30cm以上 :225株</t>
  </si>
  <si>
    <t>30cm以上 :255株</t>
  </si>
  <si>
    <t>30cm以上 :210株</t>
  </si>
  <si>
    <t>30cm以上 :270株</t>
  </si>
  <si>
    <t xml:space="preserve">最终目标树 :120～150 </t>
  </si>
  <si>
    <t xml:space="preserve">最终目标树 :105～150 </t>
  </si>
  <si>
    <t xml:space="preserve">最终目标树 :120～195 </t>
  </si>
  <si>
    <t>6cm:1830～2220 株</t>
  </si>
  <si>
    <t>6cm:750～900 株</t>
  </si>
  <si>
    <t>8cm:1350～1650 株</t>
  </si>
  <si>
    <t>8cm:1410～1920 株</t>
  </si>
  <si>
    <t>8cm:750～900 株</t>
  </si>
  <si>
    <t>10cm:1050～1320 株</t>
  </si>
  <si>
    <t>10cm:1080～1410 株</t>
  </si>
  <si>
    <t>10cm:750～900 株</t>
  </si>
  <si>
    <t>12cm:900～1040 株</t>
  </si>
  <si>
    <t>12cm:840～1080 株</t>
  </si>
  <si>
    <t>12cm:750～900 株</t>
  </si>
  <si>
    <t>14cm:750～900 株</t>
  </si>
  <si>
    <t>14cm:660～900 株</t>
  </si>
  <si>
    <t>16cm:630～740 株</t>
  </si>
  <si>
    <t>16cm:540～810 株</t>
  </si>
  <si>
    <t>18cm:540～630 株</t>
  </si>
  <si>
    <t>18cm:480～660 株</t>
  </si>
  <si>
    <t>18cm:750～900 株</t>
  </si>
  <si>
    <t>20cm:450～600 株</t>
  </si>
  <si>
    <t>20cm:－ 株</t>
  </si>
  <si>
    <t>22cm:450～480 株</t>
  </si>
  <si>
    <t>22cm:400～450 株</t>
  </si>
  <si>
    <t>22cm:－ 株</t>
  </si>
  <si>
    <t>24cm:350～400 株</t>
  </si>
  <si>
    <t>24cm:－ 株</t>
  </si>
  <si>
    <t>26cm:300～350 株</t>
  </si>
  <si>
    <t xml:space="preserve">最终目标树 :－ </t>
  </si>
  <si>
    <t>公益林组</t>
    <phoneticPr fontId="93" type="noConversion"/>
  </si>
  <si>
    <t>采伐原因</t>
    <phoneticPr fontId="93" type="noConversion"/>
  </si>
  <si>
    <t>无</t>
    <phoneticPr fontId="93" type="noConversion"/>
  </si>
  <si>
    <t>曲线树高</t>
    <phoneticPr fontId="93" type="noConversion"/>
  </si>
  <si>
    <t>栎柞大径材</t>
    <phoneticPr fontId="93" type="noConversion"/>
  </si>
  <si>
    <t xml:space="preserve">栎柞一般用材林 </t>
    <phoneticPr fontId="93" type="noConversion"/>
  </si>
  <si>
    <t xml:space="preserve">栎柞类公益林 </t>
    <phoneticPr fontId="93" type="noConversion"/>
  </si>
  <si>
    <t>云冷杉速生丰产林</t>
    <phoneticPr fontId="93" type="noConversion"/>
  </si>
  <si>
    <t>欧美杨</t>
    <phoneticPr fontId="93" type="noConversion"/>
  </si>
  <si>
    <t>伐前</t>
    <phoneticPr fontId="93" type="noConversion"/>
  </si>
  <si>
    <t>采伐</t>
    <phoneticPr fontId="93" type="noConversion"/>
  </si>
  <si>
    <t>伐后</t>
    <phoneticPr fontId="93" type="noConversion"/>
  </si>
  <si>
    <t>树高</t>
    <phoneticPr fontId="93" type="noConversion"/>
  </si>
  <si>
    <t>胸径</t>
    <phoneticPr fontId="93" type="noConversion"/>
  </si>
  <si>
    <t>欧美杨</t>
    <phoneticPr fontId="93" type="noConversion"/>
  </si>
  <si>
    <t>曲线数据</t>
    <phoneticPr fontId="93" type="noConversion"/>
  </si>
  <si>
    <t>村</t>
    <phoneticPr fontId="93" type="noConversion"/>
  </si>
  <si>
    <t>林班</t>
    <phoneticPr fontId="93" type="noConversion"/>
  </si>
  <si>
    <t>小班</t>
    <phoneticPr fontId="93" type="noConversion"/>
  </si>
  <si>
    <t>欧美杨</t>
    <phoneticPr fontId="93" type="noConversion"/>
  </si>
  <si>
    <t>径阶</t>
    <phoneticPr fontId="93" type="noConversion"/>
  </si>
  <si>
    <t>树高</t>
    <phoneticPr fontId="93" type="noConversion"/>
  </si>
  <si>
    <t>固定值</t>
    <phoneticPr fontId="9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</si>
</sst>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DBNum1][$-804]yyyy&quot;年&quot;m&quot;月&quot;d&quot;日&quot;;@"/>
    <numFmt numFmtId="177" formatCode="[$-F800]dddd\,\ mmmm\ dd\,\ yyyy"/>
    <numFmt numFmtId="178" formatCode="0.0000"/>
  </numFmts>
  <fonts count="12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.5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rgb="FFFF0000"/>
      <name val="宋体"/>
      <family val="3"/>
      <charset val="134"/>
      <scheme val="minor"/>
    </font>
    <font>
      <sz val="11"/>
      <color theme="3"/>
      <name val="宋体"/>
      <family val="3"/>
      <charset val="134"/>
      <scheme val="minor"/>
    </font>
    <font>
      <u/>
      <sz val="18"/>
      <color theme="1"/>
      <name val="黑体"/>
      <family val="3"/>
      <charset val="134"/>
    </font>
    <font>
      <sz val="16"/>
      <color theme="1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u/>
      <sz val="18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1"/>
      <color theme="1"/>
      <name val="宋体"/>
      <family val="3"/>
      <charset val="134"/>
    </font>
    <font>
      <sz val="5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8.5"/>
      <color theme="1"/>
      <name val="宋体"/>
      <family val="3"/>
      <charset val="134"/>
    </font>
    <font>
      <sz val="7.5"/>
      <color theme="1"/>
      <name val="宋体"/>
      <family val="3"/>
      <charset val="134"/>
    </font>
    <font>
      <sz val="11"/>
      <color rgb="FF3711F5"/>
      <name val="宋体"/>
      <family val="3"/>
      <charset val="134"/>
    </font>
    <font>
      <sz val="13"/>
      <color rgb="FF3711F5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8"/>
      <color indexed="8"/>
      <name val="宋体"/>
      <family val="3"/>
      <charset val="134"/>
    </font>
    <font>
      <sz val="18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4"/>
      <color indexed="8"/>
      <name val="宋体"/>
      <family val="3"/>
      <charset val="134"/>
    </font>
    <font>
      <sz val="12"/>
      <name val="Times New Roman"/>
      <family val="1"/>
    </font>
    <font>
      <b/>
      <sz val="14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4"/>
      <color theme="1"/>
      <name val="宋体"/>
      <family val="3"/>
      <charset val="134"/>
      <scheme val="major"/>
    </font>
    <font>
      <sz val="14"/>
      <color theme="1"/>
      <name val="宋体"/>
      <family val="3"/>
      <charset val="134"/>
    </font>
    <font>
      <sz val="13"/>
      <color theme="1"/>
      <name val="宋体"/>
      <family val="3"/>
      <charset val="134"/>
      <scheme val="major"/>
    </font>
    <font>
      <b/>
      <u/>
      <sz val="20"/>
      <name val="宋体"/>
      <family val="3"/>
      <charset val="134"/>
    </font>
    <font>
      <b/>
      <u/>
      <sz val="18"/>
      <name val="宋体"/>
      <family val="3"/>
      <charset val="134"/>
    </font>
    <font>
      <sz val="14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24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u/>
      <sz val="11"/>
      <color theme="1"/>
      <name val="宋体"/>
      <family val="3"/>
      <charset val="134"/>
    </font>
    <font>
      <u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24"/>
      <color theme="1"/>
      <name val="黑体"/>
      <family val="3"/>
      <charset val="134"/>
    </font>
    <font>
      <sz val="16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20"/>
      <color indexed="8"/>
      <name val="宋体"/>
      <family val="3"/>
      <charset val="134"/>
    </font>
    <font>
      <sz val="20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b/>
      <sz val="11"/>
      <color rgb="FFFFFF00"/>
      <name val="宋体"/>
      <family val="3"/>
      <charset val="134"/>
      <scheme val="minor"/>
    </font>
    <font>
      <sz val="11"/>
      <color rgb="FFFFFF00"/>
      <name val="宋体"/>
      <family val="3"/>
      <charset val="134"/>
      <scheme val="minor"/>
    </font>
    <font>
      <b/>
      <sz val="14"/>
      <color theme="5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6"/>
      <color rgb="FFFF0000"/>
      <name val="黑体"/>
      <family val="3"/>
      <charset val="134"/>
    </font>
    <font>
      <vertAlign val="superscript"/>
      <sz val="11"/>
      <color theme="1"/>
      <name val="宋体"/>
      <family val="3"/>
      <charset val="134"/>
      <scheme val="minor"/>
    </font>
    <font>
      <u/>
      <sz val="18"/>
      <color rgb="FFFF0000"/>
      <name val="黑体"/>
      <family val="3"/>
      <charset val="134"/>
    </font>
    <font>
      <sz val="9"/>
      <color theme="1"/>
      <name val="Times New Roman"/>
      <family val="1"/>
    </font>
    <font>
      <sz val="20"/>
      <color theme="1"/>
      <name val="宋体"/>
      <family val="3"/>
      <charset val="134"/>
      <scheme val="minor"/>
    </font>
    <font>
      <sz val="11"/>
      <color rgb="FF0000FF"/>
      <name val="宋体"/>
      <family val="3"/>
      <charset val="134"/>
    </font>
    <font>
      <sz val="13"/>
      <color rgb="FF000000"/>
      <name val="宋体"/>
      <family val="3"/>
      <charset val="134"/>
      <scheme val="minor"/>
    </font>
    <font>
      <sz val="13"/>
      <color rgb="FF0000FF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vertAlign val="subscript"/>
      <sz val="12"/>
      <name val="Times New Roman"/>
      <family val="1"/>
    </font>
    <font>
      <u/>
      <sz val="12"/>
      <name val="宋体"/>
      <family val="3"/>
      <charset val="134"/>
    </font>
    <font>
      <b/>
      <u/>
      <sz val="12"/>
      <color indexed="8"/>
      <name val="宋体"/>
      <family val="3"/>
      <charset val="134"/>
    </font>
    <font>
      <u/>
      <sz val="12"/>
      <color indexed="8"/>
      <name val="宋体"/>
      <family val="3"/>
      <charset val="134"/>
    </font>
    <font>
      <b/>
      <u/>
      <sz val="11"/>
      <color indexed="8"/>
      <name val="宋体"/>
      <family val="3"/>
      <charset val="134"/>
    </font>
    <font>
      <vertAlign val="subscript"/>
      <sz val="11"/>
      <color theme="1"/>
      <name val="宋体"/>
      <family val="3"/>
      <charset val="134"/>
      <scheme val="minor"/>
    </font>
    <font>
      <b/>
      <sz val="14"/>
      <color theme="1" tint="4.9989318521683403E-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等线"/>
      <family val="3"/>
      <charset val="134"/>
    </font>
    <font>
      <sz val="12"/>
      <color theme="1"/>
      <name val="黑体"/>
      <family val="3"/>
      <charset val="134"/>
    </font>
    <font>
      <sz val="12"/>
      <color theme="1"/>
      <name val="等线"/>
      <family val="3"/>
      <charset val="134"/>
    </font>
    <font>
      <b/>
      <sz val="10.5"/>
      <color theme="1"/>
      <name val="等线"/>
      <family val="3"/>
      <charset val="134"/>
    </font>
    <font>
      <b/>
      <sz val="12"/>
      <color theme="1"/>
      <name val="等线"/>
      <family val="3"/>
      <charset val="134"/>
    </font>
    <font>
      <sz val="10.5"/>
      <color theme="1"/>
      <name val="黑体"/>
      <family val="3"/>
      <charset val="134"/>
    </font>
    <font>
      <sz val="5.5"/>
      <color theme="1"/>
      <name val="等线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rgb="FF92D050"/>
      <name val="宋体"/>
      <family val="3"/>
      <charset val="134"/>
      <scheme val="minor"/>
    </font>
    <font>
      <b/>
      <sz val="14"/>
      <color rgb="FFFFC000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3"/>
      <color theme="1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3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b/>
      <sz val="12.5"/>
      <color theme="1"/>
      <name val="宋体"/>
      <family val="3"/>
      <charset val="134"/>
      <scheme val="minor"/>
    </font>
    <font>
      <b/>
      <sz val="11"/>
      <color theme="8" tint="0.79998168889431442"/>
      <name val="宋体"/>
      <family val="3"/>
      <charset val="134"/>
      <scheme val="minor"/>
    </font>
    <font>
      <sz val="11"/>
      <color theme="8" tint="0.79998168889431442"/>
      <name val="宋体"/>
      <family val="3"/>
      <charset val="134"/>
      <scheme val="minor"/>
    </font>
    <font>
      <u/>
      <sz val="10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8"/>
      <color theme="1"/>
      <name val="黑体"/>
      <family val="3"/>
      <charset val="134"/>
    </font>
    <font>
      <sz val="11"/>
      <color rgb="FF002060"/>
      <name val="宋体"/>
      <family val="3"/>
      <charset val="134"/>
      <scheme val="minor"/>
    </font>
    <font>
      <sz val="10"/>
      <color rgb="FF0F1115"/>
      <name val="Arial Unicode MS"/>
      <family val="2"/>
    </font>
    <font>
      <b/>
      <sz val="11"/>
      <color theme="7" tint="0.7999816888943144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vertAlign val="superscript"/>
      <sz val="11"/>
      <color rgb="FFFFFF00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vertAlign val="superscript"/>
      <sz val="10"/>
      <color theme="1"/>
      <name val="宋体"/>
      <family val="3"/>
      <charset val="134"/>
      <scheme val="minor"/>
    </font>
    <font>
      <sz val="8"/>
      <color rgb="FFFFFF00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0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B0F0"/>
      </left>
      <right style="thin">
        <color auto="1"/>
      </right>
      <top style="thick">
        <color rgb="FF00B0F0"/>
      </top>
      <bottom style="thin">
        <color auto="1"/>
      </bottom>
      <diagonal/>
    </border>
    <border>
      <left style="thin">
        <color auto="1"/>
      </left>
      <right style="thick">
        <color rgb="FF00B0F0"/>
      </right>
      <top style="thick">
        <color rgb="FF00B0F0"/>
      </top>
      <bottom style="thin">
        <color auto="1"/>
      </bottom>
      <diagonal/>
    </border>
    <border>
      <left style="thick">
        <color rgb="FF00B0F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rgb="FF00B0F0"/>
      </right>
      <top style="thin">
        <color auto="1"/>
      </top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rgb="FFFF0000"/>
      </left>
      <right/>
      <top style="thick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medium">
        <color indexed="64"/>
      </bottom>
      <diagonal/>
    </border>
    <border>
      <left/>
      <right style="medium">
        <color indexed="64"/>
      </right>
      <top style="medium">
        <color rgb="FF00B050"/>
      </top>
      <bottom style="thin">
        <color auto="1"/>
      </bottom>
      <diagonal/>
    </border>
    <border>
      <left/>
      <right style="medium">
        <color indexed="64"/>
      </right>
      <top style="medium">
        <color rgb="FF00B050"/>
      </top>
      <bottom style="thin">
        <color rgb="FF00B050"/>
      </bottom>
      <diagonal/>
    </border>
    <border>
      <left/>
      <right style="medium">
        <color indexed="64"/>
      </right>
      <top style="thin">
        <color rgb="FF00B050"/>
      </top>
      <bottom style="medium">
        <color rgb="FF00B050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B050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rgb="FF00B05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rgb="FF00B050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/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thick">
        <color rgb="FFFF0000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ck">
        <color rgb="FF00B05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ck">
        <color rgb="FF00B050"/>
      </bottom>
      <diagonal/>
    </border>
    <border>
      <left style="medium">
        <color indexed="64"/>
      </left>
      <right style="medium">
        <color indexed="64"/>
      </right>
      <top/>
      <bottom style="thick">
        <color rgb="FF00B050"/>
      </bottom>
      <diagonal/>
    </border>
    <border>
      <left/>
      <right style="thick">
        <color rgb="FFFF0000"/>
      </right>
      <top style="thin">
        <color auto="1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medium">
        <color auto="1"/>
      </top>
      <bottom style="thin">
        <color auto="1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n">
        <color auto="1"/>
      </left>
      <right/>
      <top style="medium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/>
      <bottom style="thick">
        <color rgb="FFFF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 style="medium">
        <color auto="1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ck">
        <color rgb="FFFF0000"/>
      </left>
      <right/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ashed">
        <color indexed="64"/>
      </left>
      <right style="thin">
        <color auto="1"/>
      </right>
      <top style="thin">
        <color auto="1"/>
      </top>
      <bottom/>
      <diagonal/>
    </border>
    <border>
      <left style="dashed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indexed="64"/>
      </bottom>
      <diagonal/>
    </border>
  </borders>
  <cellStyleXfs count="2">
    <xf numFmtId="177" fontId="0" fillId="0" borderId="0">
      <alignment vertical="center"/>
    </xf>
    <xf numFmtId="177" fontId="62" fillId="0" borderId="0" applyNumberFormat="0" applyFill="0" applyBorder="0" applyAlignment="0" applyProtection="0">
      <alignment vertical="top"/>
      <protection locked="0"/>
    </xf>
  </cellStyleXfs>
  <cellXfs count="1715">
    <xf numFmtId="177" fontId="0" fillId="0" borderId="0" xfId="0">
      <alignment vertical="center"/>
    </xf>
    <xf numFmtId="14" fontId="22" fillId="0" borderId="48" xfId="0" applyNumberFormat="1" applyFont="1" applyBorder="1" applyAlignment="1">
      <alignment horizontal="center" vertical="center"/>
    </xf>
    <xf numFmtId="14" fontId="22" fillId="0" borderId="49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vertical="center" wrapText="1"/>
    </xf>
    <xf numFmtId="0" fontId="0" fillId="0" borderId="0" xfId="0" applyNumberFormat="1">
      <alignment vertical="center"/>
    </xf>
    <xf numFmtId="0" fontId="74" fillId="0" borderId="0" xfId="0" applyNumberFormat="1" applyFont="1">
      <alignment vertical="center"/>
    </xf>
    <xf numFmtId="0" fontId="0" fillId="5" borderId="33" xfId="0" applyNumberFormat="1" applyFill="1" applyBorder="1" applyProtection="1">
      <alignment vertical="center"/>
      <protection locked="0"/>
    </xf>
    <xf numFmtId="0" fontId="0" fillId="8" borderId="5" xfId="0" applyNumberFormat="1" applyFill="1" applyBorder="1">
      <alignment vertical="center"/>
    </xf>
    <xf numFmtId="0" fontId="0" fillId="0" borderId="14" xfId="0" applyNumberFormat="1" applyBorder="1">
      <alignment vertical="center"/>
    </xf>
    <xf numFmtId="0" fontId="0" fillId="5" borderId="0" xfId="0" applyNumberFormat="1" applyFill="1">
      <alignment vertical="center"/>
    </xf>
    <xf numFmtId="0" fontId="0" fillId="0" borderId="26" xfId="0" applyNumberFormat="1" applyBorder="1">
      <alignment vertical="center"/>
    </xf>
    <xf numFmtId="0" fontId="0" fillId="0" borderId="29" xfId="0" applyNumberFormat="1" applyBorder="1">
      <alignment vertical="center"/>
    </xf>
    <xf numFmtId="0" fontId="0" fillId="3" borderId="5" xfId="0" applyNumberFormat="1" applyFill="1" applyBorder="1">
      <alignment vertical="center"/>
    </xf>
    <xf numFmtId="0" fontId="0" fillId="3" borderId="10" xfId="0" applyNumberFormat="1" applyFill="1" applyBorder="1">
      <alignment vertical="center"/>
    </xf>
    <xf numFmtId="0" fontId="0" fillId="3" borderId="26" xfId="0" applyNumberFormat="1" applyFill="1" applyBorder="1">
      <alignment vertical="center"/>
    </xf>
    <xf numFmtId="0" fontId="0" fillId="8" borderId="0" xfId="0" applyNumberFormat="1" applyFill="1">
      <alignment vertical="center"/>
    </xf>
    <xf numFmtId="0" fontId="0" fillId="0" borderId="52" xfId="0" applyNumberFormat="1" applyBorder="1">
      <alignment vertical="center"/>
    </xf>
    <xf numFmtId="0" fontId="0" fillId="14" borderId="5" xfId="0" applyNumberFormat="1" applyFill="1" applyBorder="1">
      <alignment vertical="center"/>
    </xf>
    <xf numFmtId="0" fontId="0" fillId="26" borderId="5" xfId="0" applyNumberFormat="1" applyFill="1" applyBorder="1">
      <alignment vertical="center"/>
    </xf>
    <xf numFmtId="0" fontId="0" fillId="0" borderId="5" xfId="0" applyNumberFormat="1" applyBorder="1">
      <alignment vertical="center"/>
    </xf>
    <xf numFmtId="0" fontId="0" fillId="5" borderId="5" xfId="0" applyNumberFormat="1" applyFill="1" applyBorder="1">
      <alignment vertical="center"/>
    </xf>
    <xf numFmtId="0" fontId="0" fillId="0" borderId="74" xfId="0" applyNumberFormat="1" applyBorder="1">
      <alignment vertical="center"/>
    </xf>
    <xf numFmtId="0" fontId="0" fillId="0" borderId="19" xfId="0" applyNumberFormat="1" applyBorder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10" xfId="0" applyNumberFormat="1" applyBorder="1">
      <alignment vertical="center"/>
    </xf>
    <xf numFmtId="0" fontId="0" fillId="3" borderId="0" xfId="0" applyNumberFormat="1" applyFill="1">
      <alignment vertical="center"/>
    </xf>
    <xf numFmtId="0" fontId="62" fillId="5" borderId="6" xfId="1" applyNumberFormat="1" applyFill="1" applyBorder="1" applyAlignment="1" applyProtection="1">
      <alignment vertical="center"/>
    </xf>
    <xf numFmtId="0" fontId="3" fillId="0" borderId="0" xfId="0" applyNumberFormat="1" applyFont="1">
      <alignment vertical="center"/>
    </xf>
    <xf numFmtId="0" fontId="0" fillId="20" borderId="0" xfId="0" applyNumberFormat="1" applyFill="1">
      <alignment vertical="center"/>
    </xf>
    <xf numFmtId="0" fontId="23" fillId="0" borderId="53" xfId="0" applyNumberFormat="1" applyFont="1" applyBorder="1" applyAlignment="1">
      <alignment horizontal="center" vertical="top" wrapText="1"/>
    </xf>
    <xf numFmtId="0" fontId="23" fillId="0" borderId="54" xfId="0" applyNumberFormat="1" applyFont="1" applyBorder="1" applyAlignment="1">
      <alignment horizontal="center" vertical="top" wrapText="1"/>
    </xf>
    <xf numFmtId="0" fontId="23" fillId="0" borderId="54" xfId="0" applyNumberFormat="1" applyFont="1" applyBorder="1" applyAlignment="1">
      <alignment horizontal="right" vertical="top" wrapText="1"/>
    </xf>
    <xf numFmtId="0" fontId="23" fillId="0" borderId="55" xfId="0" applyNumberFormat="1" applyFont="1" applyBorder="1" applyAlignment="1">
      <alignment horizontal="center" vertical="top" wrapText="1"/>
    </xf>
    <xf numFmtId="0" fontId="23" fillId="0" borderId="56" xfId="0" applyNumberFormat="1" applyFont="1" applyBorder="1" applyAlignment="1">
      <alignment horizontal="right" vertical="top" wrapText="1"/>
    </xf>
    <xf numFmtId="0" fontId="23" fillId="0" borderId="56" xfId="0" applyNumberFormat="1" applyFont="1" applyBorder="1" applyAlignment="1">
      <alignment horizontal="center" vertical="top" wrapText="1"/>
    </xf>
    <xf numFmtId="0" fontId="23" fillId="0" borderId="56" xfId="0" applyNumberFormat="1" applyFont="1" applyBorder="1" applyAlignment="1">
      <alignment horizontal="left" vertical="top" wrapText="1"/>
    </xf>
    <xf numFmtId="0" fontId="74" fillId="11" borderId="5" xfId="0" applyNumberFormat="1" applyFont="1" applyFill="1" applyBorder="1">
      <alignment vertical="center"/>
    </xf>
    <xf numFmtId="0" fontId="0" fillId="11" borderId="5" xfId="0" applyNumberFormat="1" applyFill="1" applyBorder="1">
      <alignment vertical="center"/>
    </xf>
    <xf numFmtId="0" fontId="0" fillId="14" borderId="0" xfId="0" applyNumberFormat="1" applyFill="1">
      <alignment vertical="center"/>
    </xf>
    <xf numFmtId="0" fontId="0" fillId="0" borderId="2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12" xfId="0" applyNumberFormat="1" applyBorder="1">
      <alignment vertical="center"/>
    </xf>
    <xf numFmtId="0" fontId="0" fillId="0" borderId="51" xfId="0" applyNumberFormat="1" applyBorder="1">
      <alignment vertical="center"/>
    </xf>
    <xf numFmtId="0" fontId="0" fillId="0" borderId="7" xfId="0" applyNumberFormat="1" applyBorder="1">
      <alignment vertical="center"/>
    </xf>
    <xf numFmtId="0" fontId="14" fillId="0" borderId="0" xfId="0" applyNumberFormat="1" applyFont="1">
      <alignment vertical="center"/>
    </xf>
    <xf numFmtId="0" fontId="0" fillId="0" borderId="4" xfId="0" applyNumberFormat="1" applyBorder="1">
      <alignment vertical="center"/>
    </xf>
    <xf numFmtId="0" fontId="0" fillId="4" borderId="14" xfId="0" applyNumberFormat="1" applyFill="1" applyBorder="1">
      <alignment vertical="center"/>
    </xf>
    <xf numFmtId="0" fontId="0" fillId="0" borderId="8" xfId="0" applyNumberFormat="1" applyBorder="1" applyAlignment="1">
      <alignment vertical="center" wrapText="1"/>
    </xf>
    <xf numFmtId="0" fontId="0" fillId="0" borderId="21" xfId="0" applyNumberFormat="1" applyBorder="1">
      <alignment vertical="center"/>
    </xf>
    <xf numFmtId="0" fontId="0" fillId="0" borderId="50" xfId="0" applyNumberFormat="1" applyBorder="1">
      <alignment vertical="center"/>
    </xf>
    <xf numFmtId="0" fontId="0" fillId="0" borderId="5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vertical="center" wrapText="1"/>
    </xf>
    <xf numFmtId="0" fontId="22" fillId="0" borderId="6" xfId="0" applyNumberFormat="1" applyFont="1" applyBorder="1" applyAlignment="1">
      <alignment horizontal="right" vertical="center"/>
    </xf>
    <xf numFmtId="0" fontId="22" fillId="0" borderId="8" xfId="0" applyNumberFormat="1" applyFont="1" applyBorder="1" applyAlignment="1">
      <alignment vertical="center" wrapText="1"/>
    </xf>
    <xf numFmtId="0" fontId="0" fillId="0" borderId="5" xfId="0" applyNumberFormat="1" applyBorder="1" applyAlignment="1">
      <alignment vertical="center" textRotation="255"/>
    </xf>
    <xf numFmtId="0" fontId="0" fillId="0" borderId="5" xfId="0" applyNumberFormat="1" applyBorder="1" applyAlignment="1">
      <alignment horizontal="center" vertical="center" textRotation="255" wrapText="1"/>
    </xf>
    <xf numFmtId="0" fontId="0" fillId="0" borderId="5" xfId="0" applyNumberFormat="1" applyBorder="1" applyAlignment="1">
      <alignment horizontal="center" vertical="center"/>
    </xf>
    <xf numFmtId="0" fontId="22" fillId="0" borderId="44" xfId="0" applyNumberFormat="1" applyFont="1" applyBorder="1" applyAlignment="1">
      <alignment horizontal="center" vertical="center"/>
    </xf>
    <xf numFmtId="0" fontId="22" fillId="0" borderId="45" xfId="0" applyNumberFormat="1" applyFont="1" applyBorder="1" applyAlignment="1">
      <alignment horizontal="center" vertical="center" wrapText="1"/>
    </xf>
    <xf numFmtId="0" fontId="22" fillId="0" borderId="45" xfId="0" applyNumberFormat="1" applyFont="1" applyBorder="1" applyAlignment="1">
      <alignment horizontal="center" vertical="center"/>
    </xf>
    <xf numFmtId="0" fontId="22" fillId="0" borderId="46" xfId="0" applyNumberFormat="1" applyFont="1" applyBorder="1" applyAlignment="1">
      <alignment horizontal="center" vertical="center"/>
    </xf>
    <xf numFmtId="0" fontId="22" fillId="0" borderId="47" xfId="0" applyNumberFormat="1" applyFont="1" applyBorder="1" applyAlignment="1">
      <alignment horizontal="center" vertical="center" wrapText="1"/>
    </xf>
    <xf numFmtId="0" fontId="22" fillId="0" borderId="47" xfId="0" applyNumberFormat="1" applyFont="1" applyBorder="1" applyAlignment="1">
      <alignment horizontal="center" vertical="center"/>
    </xf>
    <xf numFmtId="0" fontId="0" fillId="0" borderId="44" xfId="0" applyNumberFormat="1" applyBorder="1">
      <alignment vertical="center"/>
    </xf>
    <xf numFmtId="0" fontId="0" fillId="0" borderId="45" xfId="0" applyNumberFormat="1" applyBorder="1">
      <alignment vertical="center"/>
    </xf>
    <xf numFmtId="0" fontId="0" fillId="0" borderId="48" xfId="0" applyNumberFormat="1" applyBorder="1">
      <alignment vertical="center"/>
    </xf>
    <xf numFmtId="0" fontId="0" fillId="0" borderId="46" xfId="0" applyNumberFormat="1" applyBorder="1">
      <alignment vertical="center"/>
    </xf>
    <xf numFmtId="0" fontId="0" fillId="0" borderId="47" xfId="0" applyNumberFormat="1" applyBorder="1">
      <alignment vertical="center"/>
    </xf>
    <xf numFmtId="0" fontId="0" fillId="0" borderId="49" xfId="0" applyNumberFormat="1" applyBorder="1">
      <alignment vertical="center"/>
    </xf>
    <xf numFmtId="0" fontId="0" fillId="0" borderId="8" xfId="0" applyNumberFormat="1" applyBorder="1">
      <alignment vertical="center"/>
    </xf>
    <xf numFmtId="0" fontId="22" fillId="0" borderId="5" xfId="0" applyNumberFormat="1" applyFont="1" applyBorder="1">
      <alignment vertical="center"/>
    </xf>
    <xf numFmtId="0" fontId="0" fillId="0" borderId="6" xfId="0" applyNumberFormat="1" applyBorder="1">
      <alignment vertical="center"/>
    </xf>
    <xf numFmtId="0" fontId="0" fillId="0" borderId="6" xfId="0" applyNumberFormat="1" applyBorder="1" applyAlignment="1">
      <alignment vertical="center" textRotation="255"/>
    </xf>
    <xf numFmtId="0" fontId="0" fillId="0" borderId="8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8" fillId="0" borderId="0" xfId="0" applyNumberFormat="1" applyFont="1" applyAlignment="1">
      <alignment horizontal="center" vertical="center"/>
    </xf>
    <xf numFmtId="0" fontId="113" fillId="0" borderId="0" xfId="0" applyNumberFormat="1" applyFont="1" applyAlignment="1">
      <alignment horizontal="center" vertical="center"/>
    </xf>
    <xf numFmtId="0" fontId="114" fillId="0" borderId="0" xfId="0" applyNumberFormat="1" applyFont="1" applyAlignment="1">
      <alignment horizontal="center" vertical="center"/>
    </xf>
    <xf numFmtId="0" fontId="115" fillId="0" borderId="0" xfId="0" applyNumberFormat="1" applyFont="1" applyAlignment="1">
      <alignment horizontal="center" vertical="center"/>
    </xf>
    <xf numFmtId="0" fontId="116" fillId="0" borderId="0" xfId="0" applyNumberFormat="1" applyFont="1" applyAlignment="1">
      <alignment horizontal="center" vertical="center"/>
    </xf>
    <xf numFmtId="0" fontId="0" fillId="0" borderId="38" xfId="0" applyNumberFormat="1" applyBorder="1" applyAlignment="1">
      <alignment horizontal="center" vertical="center"/>
    </xf>
    <xf numFmtId="0" fontId="0" fillId="0" borderId="39" xfId="0" applyNumberFormat="1" applyBorder="1" applyAlignment="1">
      <alignment horizontal="center" vertical="center"/>
    </xf>
    <xf numFmtId="0" fontId="0" fillId="0" borderId="40" xfId="0" applyNumberFormat="1" applyBorder="1" applyAlignment="1">
      <alignment horizontal="center" vertical="center"/>
    </xf>
    <xf numFmtId="0" fontId="0" fillId="0" borderId="41" xfId="0" applyNumberFormat="1" applyBorder="1" applyAlignment="1">
      <alignment horizontal="center" vertical="center"/>
    </xf>
    <xf numFmtId="0" fontId="0" fillId="0" borderId="38" xfId="0" applyNumberFormat="1" applyBorder="1">
      <alignment vertical="center"/>
    </xf>
    <xf numFmtId="0" fontId="0" fillId="0" borderId="39" xfId="0" applyNumberFormat="1" applyBorder="1">
      <alignment vertical="center"/>
    </xf>
    <xf numFmtId="0" fontId="0" fillId="0" borderId="40" xfId="0" applyNumberFormat="1" applyBorder="1">
      <alignment vertical="center"/>
    </xf>
    <xf numFmtId="0" fontId="0" fillId="0" borderId="41" xfId="0" applyNumberFormat="1" applyBorder="1">
      <alignment vertical="center"/>
    </xf>
    <xf numFmtId="0" fontId="0" fillId="0" borderId="6" xfId="0" applyNumberFormat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1" fillId="0" borderId="0" xfId="0" applyNumberFormat="1" applyFont="1">
      <alignment vertical="center"/>
    </xf>
    <xf numFmtId="0" fontId="12" fillId="0" borderId="0" xfId="0" applyNumberFormat="1" applyFont="1">
      <alignment vertical="center"/>
    </xf>
    <xf numFmtId="0" fontId="12" fillId="0" borderId="5" xfId="0" applyNumberFormat="1" applyFont="1" applyBorder="1" applyAlignment="1">
      <alignment vertical="center" wrapText="1"/>
    </xf>
    <xf numFmtId="0" fontId="3" fillId="0" borderId="5" xfId="0" applyNumberFormat="1" applyFont="1" applyBorder="1">
      <alignment vertical="center"/>
    </xf>
    <xf numFmtId="0" fontId="3" fillId="0" borderId="14" xfId="0" applyNumberFormat="1" applyFont="1" applyBorder="1">
      <alignment vertical="center"/>
    </xf>
    <xf numFmtId="0" fontId="12" fillId="0" borderId="0" xfId="0" applyNumberFormat="1" applyFont="1" applyAlignment="1">
      <alignment vertical="center" wrapText="1"/>
    </xf>
    <xf numFmtId="0" fontId="12" fillId="0" borderId="5" xfId="0" applyNumberFormat="1" applyFont="1" applyBorder="1">
      <alignment vertical="center"/>
    </xf>
    <xf numFmtId="0" fontId="15" fillId="0" borderId="5" xfId="0" applyNumberFormat="1" applyFont="1" applyBorder="1" applyAlignment="1">
      <alignment vertical="center" wrapText="1"/>
    </xf>
    <xf numFmtId="0" fontId="0" fillId="0" borderId="9" xfId="0" applyNumberFormat="1" applyBorder="1" applyAlignment="1">
      <alignment vertical="center" wrapText="1"/>
    </xf>
    <xf numFmtId="0" fontId="15" fillId="0" borderId="10" xfId="0" applyNumberFormat="1" applyFont="1" applyBorder="1">
      <alignment vertical="center"/>
    </xf>
    <xf numFmtId="0" fontId="0" fillId="0" borderId="10" xfId="0" applyNumberFormat="1" applyBorder="1" applyAlignment="1">
      <alignment vertical="center" wrapText="1"/>
    </xf>
    <xf numFmtId="0" fontId="0" fillId="0" borderId="68" xfId="0" applyNumberFormat="1" applyBorder="1">
      <alignment vertical="center"/>
    </xf>
    <xf numFmtId="0" fontId="0" fillId="0" borderId="3" xfId="0" applyNumberFormat="1" applyBorder="1" applyAlignment="1">
      <alignment horizontal="center" vertical="center"/>
    </xf>
    <xf numFmtId="0" fontId="16" fillId="0" borderId="4" xfId="0" applyNumberFormat="1" applyFont="1" applyBorder="1" applyAlignment="1">
      <alignment vertical="center" wrapText="1"/>
    </xf>
    <xf numFmtId="0" fontId="74" fillId="0" borderId="4" xfId="0" applyNumberFormat="1" applyFont="1" applyBorder="1">
      <alignment vertical="center"/>
    </xf>
    <xf numFmtId="0" fontId="0" fillId="0" borderId="9" xfId="0" applyNumberFormat="1" applyBorder="1">
      <alignment vertical="center"/>
    </xf>
    <xf numFmtId="0" fontId="32" fillId="0" borderId="0" xfId="0" applyNumberFormat="1" applyFont="1">
      <alignment vertical="center"/>
    </xf>
    <xf numFmtId="0" fontId="51" fillId="0" borderId="68" xfId="0" applyNumberFormat="1" applyFont="1" applyBorder="1">
      <alignment vertical="center"/>
    </xf>
    <xf numFmtId="0" fontId="51" fillId="0" borderId="74" xfId="0" applyNumberFormat="1" applyFont="1" applyBorder="1">
      <alignment vertical="center"/>
    </xf>
    <xf numFmtId="0" fontId="49" fillId="0" borderId="74" xfId="0" applyNumberFormat="1" applyFont="1" applyBorder="1">
      <alignment vertical="center"/>
    </xf>
    <xf numFmtId="0" fontId="49" fillId="0" borderId="51" xfId="0" applyNumberFormat="1" applyFont="1" applyBorder="1">
      <alignment vertical="center"/>
    </xf>
    <xf numFmtId="0" fontId="49" fillId="0" borderId="75" xfId="0" applyNumberFormat="1" applyFont="1" applyBorder="1">
      <alignment vertical="center"/>
    </xf>
    <xf numFmtId="0" fontId="49" fillId="0" borderId="0" xfId="0" applyNumberFormat="1" applyFont="1">
      <alignment vertical="center"/>
    </xf>
    <xf numFmtId="0" fontId="51" fillId="0" borderId="27" xfId="0" applyNumberFormat="1" applyFont="1" applyBorder="1">
      <alignment vertical="center"/>
    </xf>
    <xf numFmtId="0" fontId="32" fillId="0" borderId="50" xfId="0" applyNumberFormat="1" applyFont="1" applyBorder="1">
      <alignment vertical="center"/>
    </xf>
    <xf numFmtId="0" fontId="32" fillId="0" borderId="51" xfId="0" applyNumberFormat="1" applyFont="1" applyBorder="1">
      <alignment vertical="center"/>
    </xf>
    <xf numFmtId="0" fontId="49" fillId="0" borderId="74" xfId="0" applyNumberFormat="1" applyFont="1" applyBorder="1" applyAlignment="1">
      <alignment horizontal="left" vertical="center"/>
    </xf>
    <xf numFmtId="0" fontId="49" fillId="0" borderId="58" xfId="0" applyNumberFormat="1" applyFont="1" applyBorder="1">
      <alignment vertical="center"/>
    </xf>
    <xf numFmtId="0" fontId="32" fillId="0" borderId="74" xfId="0" applyNumberFormat="1" applyFont="1" applyBorder="1">
      <alignment vertical="center"/>
    </xf>
    <xf numFmtId="0" fontId="32" fillId="0" borderId="74" xfId="0" applyNumberFormat="1" applyFont="1" applyBorder="1" applyAlignment="1">
      <alignment horizontal="center" vertical="center"/>
    </xf>
    <xf numFmtId="0" fontId="52" fillId="0" borderId="74" xfId="0" applyNumberFormat="1" applyFont="1" applyBorder="1" applyAlignment="1">
      <alignment horizontal="center" vertical="center"/>
    </xf>
    <xf numFmtId="0" fontId="49" fillId="0" borderId="74" xfId="0" applyNumberFormat="1" applyFont="1" applyBorder="1" applyAlignment="1">
      <alignment horizontal="center" vertical="center"/>
    </xf>
    <xf numFmtId="0" fontId="49" fillId="0" borderId="75" xfId="0" applyNumberFormat="1" applyFont="1" applyBorder="1" applyAlignment="1">
      <alignment horizontal="center" vertical="center"/>
    </xf>
    <xf numFmtId="0" fontId="46" fillId="0" borderId="0" xfId="0" applyNumberFormat="1" applyFont="1">
      <alignment vertical="center"/>
    </xf>
    <xf numFmtId="0" fontId="56" fillId="0" borderId="0" xfId="1" applyNumberFormat="1" applyFont="1" applyBorder="1" applyAlignment="1" applyProtection="1">
      <alignment horizontal="center" vertical="center"/>
    </xf>
    <xf numFmtId="0" fontId="32" fillId="0" borderId="29" xfId="0" applyNumberFormat="1" applyFont="1" applyBorder="1">
      <alignment vertical="center"/>
    </xf>
    <xf numFmtId="0" fontId="51" fillId="0" borderId="50" xfId="0" applyNumberFormat="1" applyFont="1" applyBorder="1" applyAlignment="1">
      <alignment horizontal="left" vertical="center"/>
    </xf>
    <xf numFmtId="0" fontId="51" fillId="0" borderId="51" xfId="0" applyNumberFormat="1" applyFont="1" applyBorder="1" applyAlignment="1">
      <alignment horizontal="center" vertical="center"/>
    </xf>
    <xf numFmtId="0" fontId="49" fillId="0" borderId="51" xfId="0" applyNumberFormat="1" applyFont="1" applyBorder="1" applyAlignment="1">
      <alignment horizontal="left" vertical="center"/>
    </xf>
    <xf numFmtId="0" fontId="49" fillId="0" borderId="58" xfId="0" applyNumberFormat="1" applyFont="1" applyBorder="1" applyAlignment="1">
      <alignment horizontal="left" vertical="center"/>
    </xf>
    <xf numFmtId="0" fontId="51" fillId="0" borderId="50" xfId="0" applyNumberFormat="1" applyFont="1" applyBorder="1">
      <alignment vertical="center"/>
    </xf>
    <xf numFmtId="0" fontId="51" fillId="0" borderId="51" xfId="0" applyNumberFormat="1" applyFont="1" applyBorder="1">
      <alignment vertical="center"/>
    </xf>
    <xf numFmtId="0" fontId="48" fillId="0" borderId="51" xfId="0" applyNumberFormat="1" applyFont="1" applyBorder="1">
      <alignment vertical="center"/>
    </xf>
    <xf numFmtId="0" fontId="32" fillId="0" borderId="58" xfId="0" applyNumberFormat="1" applyFont="1" applyBorder="1">
      <alignment vertical="center"/>
    </xf>
    <xf numFmtId="0" fontId="49" fillId="0" borderId="27" xfId="0" applyNumberFormat="1" applyFont="1" applyBorder="1">
      <alignment vertical="center"/>
    </xf>
    <xf numFmtId="0" fontId="48" fillId="0" borderId="0" xfId="0" applyNumberFormat="1" applyFont="1">
      <alignment vertical="center"/>
    </xf>
    <xf numFmtId="0" fontId="55" fillId="0" borderId="0" xfId="0" applyNumberFormat="1" applyFont="1" applyAlignment="1">
      <alignment horizontal="center" vertical="center"/>
    </xf>
    <xf numFmtId="0" fontId="48" fillId="0" borderId="29" xfId="0" applyNumberFormat="1" applyFont="1" applyBorder="1">
      <alignment vertical="center"/>
    </xf>
    <xf numFmtId="0" fontId="32" fillId="0" borderId="18" xfId="0" applyNumberFormat="1" applyFont="1" applyBorder="1">
      <alignment vertical="center"/>
    </xf>
    <xf numFmtId="0" fontId="49" fillId="0" borderId="52" xfId="0" applyNumberFormat="1" applyFont="1" applyBorder="1">
      <alignment vertical="center"/>
    </xf>
    <xf numFmtId="0" fontId="32" fillId="0" borderId="52" xfId="0" applyNumberFormat="1" applyFont="1" applyBorder="1">
      <alignment vertical="center"/>
    </xf>
    <xf numFmtId="0" fontId="32" fillId="0" borderId="19" xfId="0" applyNumberFormat="1" applyFont="1" applyBorder="1">
      <alignment vertical="center"/>
    </xf>
    <xf numFmtId="0" fontId="48" fillId="0" borderId="27" xfId="0" applyNumberFormat="1" applyFont="1" applyBorder="1" applyAlignment="1">
      <alignment horizontal="left" vertical="center"/>
    </xf>
    <xf numFmtId="0" fontId="48" fillId="0" borderId="0" xfId="0" applyNumberFormat="1" applyFont="1" applyAlignment="1">
      <alignment horizontal="left" vertical="center"/>
    </xf>
    <xf numFmtId="0" fontId="48" fillId="0" borderId="29" xfId="0" applyNumberFormat="1" applyFont="1" applyBorder="1" applyAlignment="1">
      <alignment horizontal="left" vertical="center"/>
    </xf>
    <xf numFmtId="0" fontId="48" fillId="0" borderId="18" xfId="0" applyNumberFormat="1" applyFont="1" applyBorder="1">
      <alignment vertical="center"/>
    </xf>
    <xf numFmtId="0" fontId="48" fillId="0" borderId="52" xfId="0" applyNumberFormat="1" applyFont="1" applyBorder="1">
      <alignment vertical="center"/>
    </xf>
    <xf numFmtId="0" fontId="48" fillId="0" borderId="19" xfId="0" applyNumberFormat="1" applyFont="1" applyBorder="1">
      <alignment vertical="center"/>
    </xf>
    <xf numFmtId="0" fontId="51" fillId="0" borderId="18" xfId="0" applyNumberFormat="1" applyFont="1" applyBorder="1" applyAlignment="1">
      <alignment vertical="center" wrapText="1"/>
    </xf>
    <xf numFmtId="0" fontId="51" fillId="0" borderId="52" xfId="0" applyNumberFormat="1" applyFont="1" applyBorder="1" applyAlignment="1">
      <alignment vertical="center" wrapText="1"/>
    </xf>
    <xf numFmtId="0" fontId="49" fillId="0" borderId="27" xfId="0" applyNumberFormat="1" applyFont="1" applyBorder="1" applyAlignment="1">
      <alignment horizontal="left" vertical="center"/>
    </xf>
    <xf numFmtId="0" fontId="51" fillId="0" borderId="0" xfId="0" applyNumberFormat="1" applyFont="1" applyAlignment="1">
      <alignment horizontal="center" vertical="center"/>
    </xf>
    <xf numFmtId="0" fontId="49" fillId="0" borderId="0" xfId="0" applyNumberFormat="1" applyFont="1" applyAlignment="1">
      <alignment horizontal="left" vertical="center"/>
    </xf>
    <xf numFmtId="0" fontId="49" fillId="0" borderId="29" xfId="0" applyNumberFormat="1" applyFont="1" applyBorder="1" applyAlignment="1">
      <alignment horizontal="left" vertical="center"/>
    </xf>
    <xf numFmtId="0" fontId="32" fillId="0" borderId="27" xfId="0" applyNumberFormat="1" applyFont="1" applyBorder="1">
      <alignment vertical="center"/>
    </xf>
    <xf numFmtId="0" fontId="51" fillId="0" borderId="0" xfId="0" applyNumberFormat="1" applyFont="1">
      <alignment vertical="center"/>
    </xf>
    <xf numFmtId="0" fontId="53" fillId="0" borderId="0" xfId="0" applyNumberFormat="1" applyFont="1">
      <alignment vertical="center"/>
    </xf>
    <xf numFmtId="0" fontId="54" fillId="0" borderId="0" xfId="0" applyNumberFormat="1" applyFont="1">
      <alignment vertical="center"/>
    </xf>
    <xf numFmtId="0" fontId="54" fillId="0" borderId="29" xfId="0" applyNumberFormat="1" applyFont="1" applyBorder="1">
      <alignment vertical="center"/>
    </xf>
    <xf numFmtId="0" fontId="55" fillId="0" borderId="0" xfId="0" applyNumberFormat="1" applyFont="1">
      <alignment vertical="center"/>
    </xf>
    <xf numFmtId="0" fontId="49" fillId="0" borderId="18" xfId="0" applyNumberFormat="1" applyFont="1" applyBorder="1">
      <alignment vertical="center"/>
    </xf>
    <xf numFmtId="0" fontId="51" fillId="0" borderId="52" xfId="0" applyNumberFormat="1" applyFont="1" applyBorder="1">
      <alignment vertical="center"/>
    </xf>
    <xf numFmtId="0" fontId="53" fillId="0" borderId="52" xfId="0" applyNumberFormat="1" applyFont="1" applyBorder="1">
      <alignment vertical="center"/>
    </xf>
    <xf numFmtId="0" fontId="54" fillId="0" borderId="52" xfId="0" applyNumberFormat="1" applyFont="1" applyBorder="1">
      <alignment vertical="center"/>
    </xf>
    <xf numFmtId="0" fontId="49" fillId="19" borderId="0" xfId="0" applyNumberFormat="1" applyFont="1" applyFill="1">
      <alignment vertical="center"/>
    </xf>
    <xf numFmtId="0" fontId="49" fillId="20" borderId="68" xfId="0" applyNumberFormat="1" applyFont="1" applyFill="1" applyBorder="1">
      <alignment vertical="center"/>
    </xf>
    <xf numFmtId="0" fontId="49" fillId="20" borderId="74" xfId="0" applyNumberFormat="1" applyFont="1" applyFill="1" applyBorder="1">
      <alignment vertical="center"/>
    </xf>
    <xf numFmtId="0" fontId="49" fillId="20" borderId="74" xfId="0" applyNumberFormat="1" applyFont="1" applyFill="1" applyBorder="1" applyAlignment="1">
      <alignment horizontal="left" vertical="center"/>
    </xf>
    <xf numFmtId="0" fontId="49" fillId="20" borderId="75" xfId="0" applyNumberFormat="1" applyFont="1" applyFill="1" applyBorder="1">
      <alignment vertical="center"/>
    </xf>
    <xf numFmtId="0" fontId="0" fillId="20" borderId="74" xfId="0" applyNumberFormat="1" applyFill="1" applyBorder="1">
      <alignment vertical="center"/>
    </xf>
    <xf numFmtId="0" fontId="0" fillId="24" borderId="0" xfId="0" applyNumberFormat="1" applyFill="1" applyAlignment="1">
      <alignment horizontal="center" vertical="center"/>
    </xf>
    <xf numFmtId="0" fontId="0" fillId="24" borderId="29" xfId="0" applyNumberFormat="1" applyFill="1" applyBorder="1" applyAlignment="1">
      <alignment horizontal="center" vertical="center"/>
    </xf>
    <xf numFmtId="0" fontId="49" fillId="19" borderId="29" xfId="0" applyNumberFormat="1" applyFont="1" applyFill="1" applyBorder="1">
      <alignment vertical="center"/>
    </xf>
    <xf numFmtId="0" fontId="0" fillId="19" borderId="0" xfId="0" applyNumberFormat="1" applyFill="1">
      <alignment vertical="center"/>
    </xf>
    <xf numFmtId="0" fontId="0" fillId="19" borderId="29" xfId="0" applyNumberFormat="1" applyFill="1" applyBorder="1">
      <alignment vertical="center"/>
    </xf>
    <xf numFmtId="0" fontId="49" fillId="19" borderId="50" xfId="0" applyNumberFormat="1" applyFont="1" applyFill="1" applyBorder="1">
      <alignment vertical="center"/>
    </xf>
    <xf numFmtId="0" fontId="49" fillId="19" borderId="51" xfId="0" applyNumberFormat="1" applyFont="1" applyFill="1" applyBorder="1">
      <alignment vertical="center"/>
    </xf>
    <xf numFmtId="0" fontId="49" fillId="19" borderId="58" xfId="0" applyNumberFormat="1" applyFont="1" applyFill="1" applyBorder="1">
      <alignment vertical="center"/>
    </xf>
    <xf numFmtId="0" fontId="49" fillId="21" borderId="69" xfId="0" applyNumberFormat="1" applyFont="1" applyFill="1" applyBorder="1">
      <alignment vertical="center"/>
    </xf>
    <xf numFmtId="0" fontId="49" fillId="21" borderId="74" xfId="0" applyNumberFormat="1" applyFont="1" applyFill="1" applyBorder="1">
      <alignment vertical="center"/>
    </xf>
    <xf numFmtId="0" fontId="49" fillId="19" borderId="19" xfId="0" applyNumberFormat="1" applyFont="1" applyFill="1" applyBorder="1">
      <alignment vertical="center"/>
    </xf>
    <xf numFmtId="0" fontId="49" fillId="24" borderId="58" xfId="0" applyNumberFormat="1" applyFont="1" applyFill="1" applyBorder="1">
      <alignment vertical="center"/>
    </xf>
    <xf numFmtId="0" fontId="57" fillId="0" borderId="51" xfId="0" applyNumberFormat="1" applyFont="1" applyBorder="1">
      <alignment vertical="center"/>
    </xf>
    <xf numFmtId="0" fontId="49" fillId="0" borderId="19" xfId="0" applyNumberFormat="1" applyFont="1" applyBorder="1">
      <alignment vertical="center"/>
    </xf>
    <xf numFmtId="0" fontId="49" fillId="17" borderId="19" xfId="0" applyNumberFormat="1" applyFont="1" applyFill="1" applyBorder="1">
      <alignment vertical="center"/>
    </xf>
    <xf numFmtId="0" fontId="38" fillId="0" borderId="50" xfId="0" applyNumberFormat="1" applyFont="1" applyBorder="1">
      <alignment vertical="center"/>
    </xf>
    <xf numFmtId="0" fontId="38" fillId="0" borderId="51" xfId="0" applyNumberFormat="1" applyFont="1" applyBorder="1">
      <alignment vertical="center"/>
    </xf>
    <xf numFmtId="0" fontId="10" fillId="0" borderId="51" xfId="0" applyNumberFormat="1" applyFont="1" applyBorder="1">
      <alignment vertical="center"/>
    </xf>
    <xf numFmtId="0" fontId="0" fillId="0" borderId="58" xfId="0" applyNumberFormat="1" applyBorder="1">
      <alignment vertical="center"/>
    </xf>
    <xf numFmtId="0" fontId="10" fillId="0" borderId="50" xfId="0" applyNumberFormat="1" applyFont="1" applyBorder="1">
      <alignment vertical="center"/>
    </xf>
    <xf numFmtId="0" fontId="0" fillId="0" borderId="27" xfId="0" applyNumberFormat="1" applyBorder="1">
      <alignment vertical="center"/>
    </xf>
    <xf numFmtId="0" fontId="10" fillId="0" borderId="0" xfId="0" applyNumberFormat="1" applyFont="1">
      <alignment vertical="center"/>
    </xf>
    <xf numFmtId="0" fontId="0" fillId="0" borderId="18" xfId="0" applyNumberFormat="1" applyBorder="1">
      <alignment vertical="center"/>
    </xf>
    <xf numFmtId="0" fontId="10" fillId="0" borderId="52" xfId="0" applyNumberFormat="1" applyFont="1" applyBorder="1">
      <alignment vertical="center"/>
    </xf>
    <xf numFmtId="0" fontId="10" fillId="0" borderId="52" xfId="0" applyNumberFormat="1" applyFont="1" applyBorder="1" applyAlignment="1">
      <alignment horizontal="distributed" vertical="center"/>
    </xf>
    <xf numFmtId="0" fontId="67" fillId="25" borderId="74" xfId="0" applyNumberFormat="1" applyFont="1" applyFill="1" applyBorder="1">
      <alignment vertical="center"/>
    </xf>
    <xf numFmtId="0" fontId="68" fillId="25" borderId="74" xfId="0" applyNumberFormat="1" applyFont="1" applyFill="1" applyBorder="1">
      <alignment vertical="center"/>
    </xf>
    <xf numFmtId="0" fontId="49" fillId="25" borderId="74" xfId="0" applyNumberFormat="1" applyFont="1" applyFill="1" applyBorder="1">
      <alignment vertical="center"/>
    </xf>
    <xf numFmtId="0" fontId="49" fillId="25" borderId="75" xfId="0" applyNumberFormat="1" applyFont="1" applyFill="1" applyBorder="1">
      <alignment vertical="center"/>
    </xf>
    <xf numFmtId="0" fontId="10" fillId="0" borderId="29" xfId="0" applyNumberFormat="1" applyFont="1" applyBorder="1">
      <alignment vertical="center"/>
    </xf>
    <xf numFmtId="0" fontId="10" fillId="0" borderId="27" xfId="0" applyNumberFormat="1" applyFont="1" applyBorder="1">
      <alignment vertical="center"/>
    </xf>
    <xf numFmtId="0" fontId="0" fillId="16" borderId="0" xfId="0" applyNumberFormat="1" applyFill="1">
      <alignment vertical="center"/>
    </xf>
    <xf numFmtId="0" fontId="49" fillId="16" borderId="75" xfId="0" applyNumberFormat="1" applyFont="1" applyFill="1" applyBorder="1">
      <alignment vertical="center"/>
    </xf>
    <xf numFmtId="0" fontId="48" fillId="18" borderId="51" xfId="0" applyNumberFormat="1" applyFont="1" applyFill="1" applyBorder="1">
      <alignment vertical="center"/>
    </xf>
    <xf numFmtId="0" fontId="48" fillId="18" borderId="0" xfId="0" applyNumberFormat="1" applyFont="1" applyFill="1">
      <alignment vertical="center"/>
    </xf>
    <xf numFmtId="0" fontId="48" fillId="18" borderId="52" xfId="0" applyNumberFormat="1" applyFont="1" applyFill="1" applyBorder="1">
      <alignment vertical="center"/>
    </xf>
    <xf numFmtId="0" fontId="0" fillId="16" borderId="51" xfId="0" applyNumberFormat="1" applyFill="1" applyBorder="1">
      <alignment vertical="center"/>
    </xf>
    <xf numFmtId="0" fontId="0" fillId="16" borderId="58" xfId="0" applyNumberFormat="1" applyFill="1" applyBorder="1">
      <alignment vertical="center"/>
    </xf>
    <xf numFmtId="0" fontId="0" fillId="3" borderId="0" xfId="0" applyNumberFormat="1" applyFill="1" applyAlignment="1">
      <alignment vertical="center" wrapText="1"/>
    </xf>
    <xf numFmtId="0" fontId="29" fillId="0" borderId="0" xfId="0" applyNumberFormat="1" applyFont="1" applyAlignment="1">
      <alignment horizontal="justify" vertical="center" wrapText="1"/>
    </xf>
    <xf numFmtId="0" fontId="30" fillId="0" borderId="0" xfId="0" applyNumberFormat="1" applyFont="1" applyAlignment="1">
      <alignment horizontal="justify" vertical="center" wrapText="1"/>
    </xf>
    <xf numFmtId="0" fontId="31" fillId="0" borderId="0" xfId="0" applyNumberFormat="1" applyFont="1" applyAlignment="1">
      <alignment horizontal="left" vertical="center" wrapText="1"/>
    </xf>
    <xf numFmtId="0" fontId="29" fillId="0" borderId="0" xfId="0" applyNumberFormat="1" applyFont="1" applyAlignment="1">
      <alignment horizontal="left" vertical="center" wrapText="1"/>
    </xf>
    <xf numFmtId="0" fontId="74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vertical="distributed" wrapText="1"/>
    </xf>
    <xf numFmtId="0" fontId="39" fillId="0" borderId="0" xfId="0" applyNumberFormat="1" applyFont="1" applyAlignment="1">
      <alignment vertical="center" wrapText="1"/>
    </xf>
    <xf numFmtId="0" fontId="40" fillId="0" borderId="0" xfId="0" applyNumberFormat="1" applyFont="1">
      <alignment vertical="center"/>
    </xf>
    <xf numFmtId="0" fontId="40" fillId="0" borderId="0" xfId="0" applyNumberFormat="1" applyFont="1" applyAlignment="1">
      <alignment vertical="distributed" wrapText="1"/>
    </xf>
    <xf numFmtId="0" fontId="39" fillId="0" borderId="0" xfId="0" applyNumberFormat="1" applyFont="1">
      <alignment vertical="center"/>
    </xf>
    <xf numFmtId="0" fontId="41" fillId="0" borderId="0" xfId="0" applyNumberFormat="1" applyFont="1">
      <alignment vertical="center"/>
    </xf>
    <xf numFmtId="0" fontId="42" fillId="0" borderId="0" xfId="0" applyNumberFormat="1" applyFont="1">
      <alignment vertical="center"/>
    </xf>
    <xf numFmtId="0" fontId="10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justify" vertical="center"/>
    </xf>
    <xf numFmtId="0" fontId="34" fillId="0" borderId="0" xfId="0" applyNumberFormat="1" applyFont="1" applyAlignment="1">
      <alignment horizontal="center" vertical="center"/>
    </xf>
    <xf numFmtId="0" fontId="35" fillId="0" borderId="50" xfId="0" applyNumberFormat="1" applyFont="1" applyBorder="1">
      <alignment vertical="center"/>
    </xf>
    <xf numFmtId="0" fontId="36" fillId="0" borderId="51" xfId="0" applyNumberFormat="1" applyFont="1" applyBorder="1">
      <alignment vertical="center"/>
    </xf>
    <xf numFmtId="0" fontId="36" fillId="0" borderId="27" xfId="0" applyNumberFormat="1" applyFont="1" applyBorder="1">
      <alignment vertical="center"/>
    </xf>
    <xf numFmtId="0" fontId="36" fillId="0" borderId="0" xfId="0" applyNumberFormat="1" applyFont="1">
      <alignment vertical="center"/>
    </xf>
    <xf numFmtId="0" fontId="36" fillId="0" borderId="18" xfId="0" applyNumberFormat="1" applyFont="1" applyBorder="1">
      <alignment vertical="center"/>
    </xf>
    <xf numFmtId="0" fontId="36" fillId="0" borderId="52" xfId="0" applyNumberFormat="1" applyFont="1" applyBorder="1">
      <alignment vertical="center"/>
    </xf>
    <xf numFmtId="0" fontId="35" fillId="0" borderId="27" xfId="0" applyNumberFormat="1" applyFont="1" applyBorder="1">
      <alignment vertical="center"/>
    </xf>
    <xf numFmtId="0" fontId="8" fillId="0" borderId="3" xfId="0" applyNumberFormat="1" applyFont="1" applyBorder="1">
      <alignment vertical="center"/>
    </xf>
    <xf numFmtId="0" fontId="32" fillId="0" borderId="3" xfId="0" applyNumberFormat="1" applyFont="1" applyBorder="1">
      <alignment vertical="center"/>
    </xf>
    <xf numFmtId="0" fontId="8" fillId="0" borderId="10" xfId="0" applyNumberFormat="1" applyFont="1" applyBorder="1">
      <alignment vertical="center"/>
    </xf>
    <xf numFmtId="0" fontId="32" fillId="0" borderId="10" xfId="0" applyNumberFormat="1" applyFont="1" applyBorder="1">
      <alignment vertical="center"/>
    </xf>
    <xf numFmtId="0" fontId="45" fillId="0" borderId="10" xfId="0" applyNumberFormat="1" applyFont="1" applyBorder="1">
      <alignment vertical="center"/>
    </xf>
    <xf numFmtId="0" fontId="45" fillId="0" borderId="26" xfId="0" applyNumberFormat="1" applyFont="1" applyBorder="1">
      <alignment vertical="center"/>
    </xf>
    <xf numFmtId="0" fontId="24" fillId="0" borderId="55" xfId="0" applyNumberFormat="1" applyFont="1" applyBorder="1" applyAlignment="1">
      <alignment horizontal="left" vertical="top" wrapText="1"/>
    </xf>
    <xf numFmtId="0" fontId="23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left" vertical="center"/>
    </xf>
    <xf numFmtId="0" fontId="23" fillId="0" borderId="54" xfId="0" applyNumberFormat="1" applyFont="1" applyBorder="1" applyAlignment="1">
      <alignment horizontal="left" vertical="top" wrapText="1"/>
    </xf>
    <xf numFmtId="0" fontId="26" fillId="0" borderId="57" xfId="0" applyNumberFormat="1" applyFont="1" applyBorder="1" applyAlignment="1">
      <alignment horizontal="left" vertical="top" wrapText="1"/>
    </xf>
    <xf numFmtId="0" fontId="27" fillId="0" borderId="57" xfId="0" applyNumberFormat="1" applyFont="1" applyBorder="1" applyAlignment="1">
      <alignment horizontal="left" vertical="top" wrapText="1"/>
    </xf>
    <xf numFmtId="0" fontId="23" fillId="0" borderId="55" xfId="0" applyNumberFormat="1" applyFont="1" applyBorder="1" applyAlignment="1">
      <alignment horizontal="left" vertical="top" wrapText="1"/>
    </xf>
    <xf numFmtId="0" fontId="12" fillId="8" borderId="4" xfId="0" applyNumberFormat="1" applyFont="1" applyFill="1" applyBorder="1">
      <alignment vertical="center"/>
    </xf>
    <xf numFmtId="0" fontId="12" fillId="8" borderId="14" xfId="0" applyNumberFormat="1" applyFont="1" applyFill="1" applyBorder="1">
      <alignment vertical="center"/>
    </xf>
    <xf numFmtId="0" fontId="12" fillId="8" borderId="5" xfId="0" applyNumberFormat="1" applyFont="1" applyFill="1" applyBorder="1">
      <alignment vertical="center"/>
    </xf>
    <xf numFmtId="0" fontId="10" fillId="0" borderId="5" xfId="0" applyNumberFormat="1" applyFont="1" applyBorder="1">
      <alignment vertical="center"/>
    </xf>
    <xf numFmtId="0" fontId="0" fillId="0" borderId="15" xfId="0" applyNumberFormat="1" applyBorder="1">
      <alignment vertical="center"/>
    </xf>
    <xf numFmtId="0" fontId="12" fillId="8" borderId="27" xfId="0" applyNumberFormat="1" applyFont="1" applyFill="1" applyBorder="1">
      <alignment vertical="center"/>
    </xf>
    <xf numFmtId="0" fontId="12" fillId="8" borderId="0" xfId="0" applyNumberFormat="1" applyFont="1" applyFill="1">
      <alignment vertical="center"/>
    </xf>
    <xf numFmtId="0" fontId="12" fillId="8" borderId="29" xfId="0" applyNumberFormat="1" applyFont="1" applyFill="1" applyBorder="1">
      <alignment vertical="center"/>
    </xf>
    <xf numFmtId="0" fontId="12" fillId="8" borderId="2" xfId="0" applyNumberFormat="1" applyFont="1" applyFill="1" applyBorder="1">
      <alignment vertical="center"/>
    </xf>
    <xf numFmtId="0" fontId="0" fillId="0" borderId="12" xfId="0" applyNumberFormat="1" applyBorder="1" applyAlignment="1">
      <alignment horizontal="center" vertical="center"/>
    </xf>
    <xf numFmtId="0" fontId="12" fillId="8" borderId="8" xfId="0" applyNumberFormat="1" applyFont="1" applyFill="1" applyBorder="1">
      <alignment vertical="center"/>
    </xf>
    <xf numFmtId="0" fontId="12" fillId="0" borderId="4" xfId="0" applyNumberFormat="1" applyFont="1" applyBorder="1" applyAlignment="1">
      <alignment vertical="center" wrapText="1"/>
    </xf>
    <xf numFmtId="0" fontId="12" fillId="0" borderId="8" xfId="0" applyNumberFormat="1" applyFont="1" applyBorder="1" applyAlignment="1">
      <alignment vertical="center" wrapText="1"/>
    </xf>
    <xf numFmtId="0" fontId="14" fillId="2" borderId="4" xfId="0" applyNumberFormat="1" applyFont="1" applyFill="1" applyBorder="1">
      <alignment vertical="center"/>
    </xf>
    <xf numFmtId="0" fontId="14" fillId="2" borderId="14" xfId="0" applyNumberFormat="1" applyFont="1" applyFill="1" applyBorder="1">
      <alignment vertical="center"/>
    </xf>
    <xf numFmtId="0" fontId="0" fillId="3" borderId="8" xfId="0" applyNumberFormat="1" applyFill="1" applyBorder="1">
      <alignment vertical="center"/>
    </xf>
    <xf numFmtId="0" fontId="0" fillId="4" borderId="5" xfId="0" applyNumberFormat="1" applyFill="1" applyBorder="1">
      <alignment vertical="center"/>
    </xf>
    <xf numFmtId="0" fontId="12" fillId="8" borderId="16" xfId="0" applyNumberFormat="1" applyFont="1" applyFill="1" applyBorder="1" applyAlignment="1">
      <alignment vertical="center" wrapText="1"/>
    </xf>
    <xf numFmtId="0" fontId="12" fillId="8" borderId="10" xfId="0" applyNumberFormat="1" applyFont="1" applyFill="1" applyBorder="1">
      <alignment vertical="center"/>
    </xf>
    <xf numFmtId="0" fontId="12" fillId="8" borderId="26" xfId="0" applyNumberFormat="1" applyFont="1" applyFill="1" applyBorder="1">
      <alignment vertical="center"/>
    </xf>
    <xf numFmtId="0" fontId="12" fillId="8" borderId="19" xfId="0" applyNumberFormat="1" applyFont="1" applyFill="1" applyBorder="1">
      <alignment vertical="center"/>
    </xf>
    <xf numFmtId="0" fontId="0" fillId="3" borderId="16" xfId="0" applyNumberFormat="1" applyFill="1" applyBorder="1">
      <alignment vertical="center"/>
    </xf>
    <xf numFmtId="0" fontId="0" fillId="4" borderId="10" xfId="0" applyNumberFormat="1" applyFill="1" applyBorder="1">
      <alignment vertical="center"/>
    </xf>
    <xf numFmtId="0" fontId="0" fillId="4" borderId="26" xfId="0" applyNumberFormat="1" applyFill="1" applyBorder="1">
      <alignment vertical="center"/>
    </xf>
    <xf numFmtId="0" fontId="14" fillId="0" borderId="17" xfId="0" applyNumberFormat="1" applyFont="1" applyBorder="1">
      <alignment vertical="center"/>
    </xf>
    <xf numFmtId="0" fontId="17" fillId="3" borderId="5" xfId="0" applyNumberFormat="1" applyFont="1" applyFill="1" applyBorder="1">
      <alignment vertical="center"/>
    </xf>
    <xf numFmtId="0" fontId="14" fillId="2" borderId="5" xfId="0" applyNumberFormat="1" applyFont="1" applyFill="1" applyBorder="1">
      <alignment vertical="center"/>
    </xf>
    <xf numFmtId="0" fontId="0" fillId="6" borderId="5" xfId="0" applyNumberFormat="1" applyFill="1" applyBorder="1">
      <alignment vertical="center"/>
    </xf>
    <xf numFmtId="0" fontId="0" fillId="7" borderId="5" xfId="0" applyNumberFormat="1" applyFill="1" applyBorder="1">
      <alignment vertical="center"/>
    </xf>
    <xf numFmtId="0" fontId="0" fillId="6" borderId="14" xfId="0" applyNumberFormat="1" applyFill="1" applyBorder="1">
      <alignment vertical="center"/>
    </xf>
    <xf numFmtId="0" fontId="0" fillId="0" borderId="15" xfId="0" applyNumberFormat="1" applyBorder="1" applyAlignment="1">
      <alignment vertical="center" wrapText="1"/>
    </xf>
    <xf numFmtId="0" fontId="0" fillId="5" borderId="10" xfId="0" applyNumberFormat="1" applyFill="1" applyBorder="1">
      <alignment vertical="center"/>
    </xf>
    <xf numFmtId="0" fontId="0" fillId="6" borderId="10" xfId="0" applyNumberFormat="1" applyFill="1" applyBorder="1">
      <alignment vertical="center"/>
    </xf>
    <xf numFmtId="0" fontId="0" fillId="7" borderId="10" xfId="0" applyNumberFormat="1" applyFill="1" applyBorder="1">
      <alignment vertical="center"/>
    </xf>
    <xf numFmtId="0" fontId="0" fillId="6" borderId="26" xfId="0" applyNumberFormat="1" applyFill="1" applyBorder="1">
      <alignment vertical="center"/>
    </xf>
    <xf numFmtId="0" fontId="18" fillId="0" borderId="0" xfId="0" applyNumberFormat="1" applyFont="1">
      <alignment vertical="center"/>
    </xf>
    <xf numFmtId="0" fontId="74" fillId="0" borderId="5" xfId="0" applyNumberFormat="1" applyFont="1" applyBorder="1">
      <alignment vertical="center"/>
    </xf>
    <xf numFmtId="0" fontId="74" fillId="0" borderId="5" xfId="0" applyNumberFormat="1" applyFont="1" applyBorder="1" applyAlignment="1">
      <alignment vertical="center" wrapText="1"/>
    </xf>
    <xf numFmtId="0" fontId="3" fillId="0" borderId="52" xfId="0" applyNumberFormat="1" applyFont="1" applyBorder="1" applyAlignment="1">
      <alignment horizontal="center" vertical="center"/>
    </xf>
    <xf numFmtId="0" fontId="0" fillId="0" borderId="114" xfId="0" applyNumberFormat="1" applyBorder="1">
      <alignment vertical="center"/>
    </xf>
    <xf numFmtId="0" fontId="6" fillId="0" borderId="5" xfId="0" applyNumberFormat="1" applyFont="1" applyBorder="1">
      <alignment vertical="center"/>
    </xf>
    <xf numFmtId="0" fontId="6" fillId="0" borderId="14" xfId="0" applyNumberFormat="1" applyFont="1" applyBorder="1">
      <alignment vertical="center"/>
    </xf>
    <xf numFmtId="0" fontId="6" fillId="0" borderId="26" xfId="0" applyNumberFormat="1" applyFont="1" applyBorder="1">
      <alignment vertical="center"/>
    </xf>
    <xf numFmtId="0" fontId="0" fillId="0" borderId="31" xfId="0" applyNumberFormat="1" applyBorder="1">
      <alignment vertical="center"/>
    </xf>
    <xf numFmtId="0" fontId="0" fillId="0" borderId="42" xfId="0" applyNumberFormat="1" applyBorder="1">
      <alignment vertical="center"/>
    </xf>
    <xf numFmtId="0" fontId="57" fillId="0" borderId="0" xfId="0" applyNumberFormat="1" applyFont="1">
      <alignment vertical="center"/>
    </xf>
    <xf numFmtId="0" fontId="60" fillId="0" borderId="0" xfId="0" applyNumberFormat="1" applyFont="1">
      <alignment vertical="center"/>
    </xf>
    <xf numFmtId="0" fontId="50" fillId="0" borderId="0" xfId="0" applyNumberFormat="1" applyFont="1" applyAlignment="1">
      <alignment horizontal="center" vertical="center"/>
    </xf>
    <xf numFmtId="0" fontId="121" fillId="0" borderId="0" xfId="0" applyNumberFormat="1" applyFont="1">
      <alignment vertical="center"/>
    </xf>
    <xf numFmtId="0" fontId="108" fillId="0" borderId="0" xfId="0" applyNumberFormat="1" applyFont="1" applyAlignment="1">
      <alignment vertical="top" wrapText="1"/>
    </xf>
    <xf numFmtId="0" fontId="120" fillId="0" borderId="0" xfId="0" applyNumberFormat="1" applyFont="1" applyAlignment="1">
      <alignment vertical="top" wrapText="1"/>
    </xf>
    <xf numFmtId="0" fontId="106" fillId="0" borderId="0" xfId="0" applyNumberFormat="1" applyFont="1" applyAlignment="1">
      <alignment vertical="center" wrapText="1"/>
    </xf>
    <xf numFmtId="0" fontId="72" fillId="0" borderId="0" xfId="0" applyNumberFormat="1" applyFont="1" applyAlignment="1">
      <alignment horizontal="center" vertical="center"/>
    </xf>
    <xf numFmtId="0" fontId="109" fillId="0" borderId="0" xfId="0" applyNumberFormat="1" applyFont="1">
      <alignment vertical="center"/>
    </xf>
    <xf numFmtId="0" fontId="4" fillId="0" borderId="0" xfId="0" applyNumberFormat="1" applyFont="1" applyAlignment="1">
      <alignment horizontal="justify" vertical="center"/>
    </xf>
    <xf numFmtId="0" fontId="5" fillId="0" borderId="0" xfId="0" applyNumberFormat="1" applyFont="1" applyAlignment="1">
      <alignment horizontal="justify" vertical="center"/>
    </xf>
    <xf numFmtId="0" fontId="3" fillId="0" borderId="0" xfId="0" applyNumberFormat="1" applyFont="1" applyAlignment="1">
      <alignment vertical="center" wrapText="1"/>
    </xf>
    <xf numFmtId="0" fontId="74" fillId="3" borderId="0" xfId="0" applyNumberFormat="1" applyFont="1" applyFill="1" applyAlignment="1">
      <alignment vertical="center" wrapText="1"/>
    </xf>
    <xf numFmtId="0" fontId="0" fillId="0" borderId="1" xfId="0" applyNumberFormat="1" applyBorder="1" applyAlignment="1">
      <alignment horizontal="center" vertical="center"/>
    </xf>
    <xf numFmtId="0" fontId="6" fillId="0" borderId="1" xfId="0" applyNumberFormat="1" applyFont="1" applyBorder="1">
      <alignment vertical="center"/>
    </xf>
    <xf numFmtId="0" fontId="7" fillId="0" borderId="0" xfId="0" applyNumberFormat="1" applyFont="1">
      <alignment vertical="center"/>
    </xf>
    <xf numFmtId="0" fontId="8" fillId="0" borderId="0" xfId="0" applyNumberFormat="1" applyFont="1">
      <alignment vertical="center"/>
    </xf>
    <xf numFmtId="0" fontId="0" fillId="0" borderId="0" xfId="0" applyNumberFormat="1" applyAlignment="1"/>
    <xf numFmtId="0" fontId="57" fillId="0" borderId="0" xfId="0" applyNumberFormat="1" applyFont="1" applyAlignment="1">
      <alignment horizontal="left" vertical="center" wrapText="1"/>
    </xf>
    <xf numFmtId="0" fontId="0" fillId="0" borderId="0" xfId="0" applyNumberFormat="1" applyFont="1">
      <alignment vertical="center"/>
    </xf>
    <xf numFmtId="0" fontId="74" fillId="11" borderId="0" xfId="0" applyNumberFormat="1" applyFont="1" applyFill="1">
      <alignment vertical="center"/>
    </xf>
    <xf numFmtId="0" fontId="117" fillId="8" borderId="0" xfId="0" applyNumberFormat="1" applyFont="1" applyFill="1">
      <alignment vertical="center"/>
    </xf>
    <xf numFmtId="0" fontId="0" fillId="0" borderId="67" xfId="0" applyNumberFormat="1" applyBorder="1" applyAlignment="1">
      <alignment horizontal="center" vertical="center"/>
    </xf>
    <xf numFmtId="0" fontId="74" fillId="0" borderId="6" xfId="0" applyNumberFormat="1" applyFont="1" applyBorder="1">
      <alignment vertical="center"/>
    </xf>
    <xf numFmtId="0" fontId="74" fillId="0" borderId="7" xfId="0" applyNumberFormat="1" applyFont="1" applyBorder="1">
      <alignment vertical="center"/>
    </xf>
    <xf numFmtId="0" fontId="0" fillId="0" borderId="17" xfId="0" applyNumberFormat="1" applyBorder="1" applyAlignment="1">
      <alignment horizontal="center" vertical="center"/>
    </xf>
    <xf numFmtId="0" fontId="74" fillId="0" borderId="8" xfId="0" applyNumberFormat="1" applyFont="1" applyBorder="1">
      <alignment vertical="center"/>
    </xf>
    <xf numFmtId="0" fontId="74" fillId="0" borderId="6" xfId="0" applyNumberFormat="1" applyFont="1" applyBorder="1" applyAlignment="1">
      <alignment vertical="center" wrapText="1"/>
    </xf>
    <xf numFmtId="0" fontId="74" fillId="0" borderId="7" xfId="0" applyNumberFormat="1" applyFont="1" applyBorder="1" applyAlignment="1">
      <alignment vertical="center" wrapText="1"/>
    </xf>
    <xf numFmtId="0" fontId="14" fillId="8" borderId="5" xfId="0" applyNumberFormat="1" applyFont="1" applyFill="1" applyBorder="1">
      <alignment vertical="center"/>
    </xf>
    <xf numFmtId="0" fontId="74" fillId="0" borderId="24" xfId="0" applyNumberFormat="1" applyFont="1" applyBorder="1" applyAlignment="1">
      <alignment horizontal="center" vertical="center"/>
    </xf>
    <xf numFmtId="0" fontId="74" fillId="28" borderId="24" xfId="0" applyNumberFormat="1" applyFont="1" applyFill="1" applyBorder="1" applyAlignment="1">
      <alignment horizontal="center" vertical="center"/>
    </xf>
    <xf numFmtId="0" fontId="74" fillId="11" borderId="24" xfId="0" applyNumberFormat="1" applyFont="1" applyFill="1" applyBorder="1" applyAlignment="1">
      <alignment horizontal="center" vertical="center"/>
    </xf>
    <xf numFmtId="0" fontId="74" fillId="8" borderId="5" xfId="0" applyNumberFormat="1" applyFont="1" applyFill="1" applyBorder="1">
      <alignment vertical="center"/>
    </xf>
    <xf numFmtId="0" fontId="74" fillId="5" borderId="5" xfId="0" applyNumberFormat="1" applyFont="1" applyFill="1" applyBorder="1">
      <alignment vertical="center"/>
    </xf>
    <xf numFmtId="0" fontId="74" fillId="11" borderId="17" xfId="0" applyNumberFormat="1" applyFont="1" applyFill="1" applyBorder="1">
      <alignment vertical="center"/>
    </xf>
    <xf numFmtId="0" fontId="74" fillId="3" borderId="0" xfId="0" applyNumberFormat="1" applyFont="1" applyFill="1">
      <alignment vertical="center"/>
    </xf>
    <xf numFmtId="0" fontId="74" fillId="28" borderId="5" xfId="0" applyNumberFormat="1" applyFont="1" applyFill="1" applyBorder="1">
      <alignment vertical="center"/>
    </xf>
    <xf numFmtId="0" fontId="74" fillId="3" borderId="5" xfId="0" applyNumberFormat="1" applyFont="1" applyFill="1" applyBorder="1">
      <alignment vertical="center"/>
    </xf>
    <xf numFmtId="0" fontId="74" fillId="0" borderId="140" xfId="0" applyNumberFormat="1" applyFont="1" applyBorder="1">
      <alignment vertical="center"/>
    </xf>
    <xf numFmtId="0" fontId="0" fillId="0" borderId="140" xfId="0" applyNumberFormat="1" applyBorder="1">
      <alignment vertical="center"/>
    </xf>
    <xf numFmtId="0" fontId="12" fillId="4" borderId="33" xfId="0" applyNumberFormat="1" applyFont="1" applyFill="1" applyBorder="1">
      <alignment vertical="center"/>
    </xf>
    <xf numFmtId="0" fontId="0" fillId="0" borderId="5" xfId="0" applyNumberFormat="1" applyBorder="1" applyAlignment="1">
      <alignment horizontal="center"/>
    </xf>
    <xf numFmtId="0" fontId="0" fillId="4" borderId="34" xfId="0" applyNumberFormat="1" applyFill="1" applyBorder="1">
      <alignment vertical="center"/>
    </xf>
    <xf numFmtId="0" fontId="23" fillId="0" borderId="55" xfId="0" applyNumberFormat="1" applyFont="1" applyBorder="1" applyAlignment="1">
      <alignment horizontal="center" vertical="center" wrapText="1"/>
    </xf>
    <xf numFmtId="0" fontId="23" fillId="0" borderId="57" xfId="0" applyNumberFormat="1" applyFont="1" applyBorder="1" applyAlignment="1">
      <alignment horizontal="center" vertical="center" wrapText="1"/>
    </xf>
    <xf numFmtId="0" fontId="23" fillId="0" borderId="56" xfId="0" applyNumberFormat="1" applyFont="1" applyBorder="1" applyAlignment="1">
      <alignment horizontal="center" vertical="center" wrapText="1"/>
    </xf>
    <xf numFmtId="0" fontId="23" fillId="0" borderId="61" xfId="0" applyNumberFormat="1" applyFont="1" applyBorder="1" applyAlignment="1">
      <alignment horizontal="center" vertical="center" wrapText="1"/>
    </xf>
    <xf numFmtId="0" fontId="23" fillId="0" borderId="5" xfId="0" applyNumberFormat="1" applyFont="1" applyBorder="1" applyAlignment="1">
      <alignment horizontal="center" vertical="center" wrapText="1"/>
    </xf>
    <xf numFmtId="0" fontId="23" fillId="0" borderId="62" xfId="0" applyNumberFormat="1" applyFont="1" applyBorder="1" applyAlignment="1">
      <alignment horizontal="center" vertical="center" wrapText="1"/>
    </xf>
    <xf numFmtId="0" fontId="23" fillId="0" borderId="0" xfId="0" applyNumberFormat="1" applyFont="1" applyAlignment="1">
      <alignment horizontal="center" vertical="center" wrapText="1"/>
    </xf>
    <xf numFmtId="0" fontId="23" fillId="0" borderId="56" xfId="0" applyNumberFormat="1" applyFont="1" applyBorder="1" applyAlignment="1">
      <alignment horizontal="left" vertical="center" wrapText="1" indent="1"/>
    </xf>
    <xf numFmtId="0" fontId="23" fillId="0" borderId="137" xfId="0" applyNumberFormat="1" applyFont="1" applyBorder="1" applyAlignment="1">
      <alignment horizontal="center" vertical="center" wrapText="1"/>
    </xf>
    <xf numFmtId="0" fontId="23" fillId="0" borderId="138" xfId="0" applyNumberFormat="1" applyFont="1" applyBorder="1" applyAlignment="1">
      <alignment horizontal="center" vertical="center" wrapText="1"/>
    </xf>
    <xf numFmtId="0" fontId="23" fillId="0" borderId="74" xfId="0" applyNumberFormat="1" applyFont="1" applyBorder="1" applyAlignment="1">
      <alignment horizontal="center" vertical="center" wrapText="1"/>
    </xf>
    <xf numFmtId="0" fontId="23" fillId="0" borderId="56" xfId="0" applyNumberFormat="1" applyFont="1" applyBorder="1" applyAlignment="1">
      <alignment horizontal="left" vertical="center" wrapText="1"/>
    </xf>
    <xf numFmtId="0" fontId="20" fillId="0" borderId="5" xfId="0" applyNumberFormat="1" applyFont="1" applyBorder="1">
      <alignment vertical="center"/>
    </xf>
    <xf numFmtId="0" fontId="105" fillId="0" borderId="0" xfId="0" applyNumberFormat="1" applyFont="1">
      <alignment vertical="center"/>
    </xf>
    <xf numFmtId="0" fontId="0" fillId="0" borderId="0" xfId="0" applyNumberFormat="1" applyAlignment="1">
      <alignment horizontal="left" vertical="center"/>
    </xf>
    <xf numFmtId="0" fontId="67" fillId="0" borderId="0" xfId="0" applyNumberFormat="1" applyFont="1">
      <alignment vertical="center"/>
    </xf>
    <xf numFmtId="0" fontId="102" fillId="0" borderId="0" xfId="0" applyNumberFormat="1" applyFont="1">
      <alignment vertical="center"/>
    </xf>
    <xf numFmtId="0" fontId="0" fillId="0" borderId="19" xfId="0" applyNumberFormat="1" applyBorder="1" applyAlignment="1">
      <alignment horizontal="left" vertical="center"/>
    </xf>
    <xf numFmtId="0" fontId="74" fillId="0" borderId="2" xfId="0" applyNumberFormat="1" applyFont="1" applyBorder="1">
      <alignment vertical="center"/>
    </xf>
    <xf numFmtId="0" fontId="74" fillId="0" borderId="3" xfId="0" applyNumberFormat="1" applyFont="1" applyBorder="1">
      <alignment vertical="center"/>
    </xf>
    <xf numFmtId="0" fontId="74" fillId="0" borderId="13" xfId="0" applyNumberFormat="1" applyFont="1" applyBorder="1">
      <alignment vertical="center"/>
    </xf>
    <xf numFmtId="0" fontId="3" fillId="3" borderId="3" xfId="0" applyNumberFormat="1" applyFont="1" applyFill="1" applyBorder="1" applyAlignment="1">
      <alignment vertical="center" wrapText="1"/>
    </xf>
    <xf numFmtId="0" fontId="3" fillId="0" borderId="3" xfId="0" applyNumberFormat="1" applyFont="1" applyBorder="1" applyAlignment="1">
      <alignment vertical="center" wrapText="1"/>
    </xf>
    <xf numFmtId="0" fontId="3" fillId="0" borderId="11" xfId="0" applyNumberFormat="1" applyFont="1" applyBorder="1" applyAlignment="1">
      <alignment vertical="center" wrapText="1"/>
    </xf>
    <xf numFmtId="0" fontId="3" fillId="3" borderId="2" xfId="0" applyNumberFormat="1" applyFont="1" applyFill="1" applyBorder="1" applyAlignment="1">
      <alignment vertical="center" wrapText="1"/>
    </xf>
    <xf numFmtId="0" fontId="3" fillId="0" borderId="12" xfId="0" applyNumberFormat="1" applyFont="1" applyBorder="1" applyAlignment="1">
      <alignment vertical="center" wrapText="1"/>
    </xf>
    <xf numFmtId="0" fontId="74" fillId="0" borderId="14" xfId="0" applyNumberFormat="1" applyFont="1" applyBorder="1">
      <alignment vertical="center"/>
    </xf>
    <xf numFmtId="0" fontId="74" fillId="0" borderId="12" xfId="0" applyNumberFormat="1" applyFont="1" applyBorder="1">
      <alignment vertical="center"/>
    </xf>
    <xf numFmtId="0" fontId="74" fillId="8" borderId="6" xfId="0" applyNumberFormat="1" applyFont="1" applyFill="1" applyBorder="1">
      <alignment vertical="center"/>
    </xf>
    <xf numFmtId="0" fontId="74" fillId="33" borderId="5" xfId="0" applyNumberFormat="1" applyFont="1" applyFill="1" applyBorder="1">
      <alignment vertical="center"/>
    </xf>
    <xf numFmtId="0" fontId="74" fillId="5" borderId="8" xfId="0" applyNumberFormat="1" applyFont="1" applyFill="1" applyBorder="1">
      <alignment vertical="center"/>
    </xf>
    <xf numFmtId="0" fontId="3" fillId="3" borderId="5" xfId="0" applyNumberFormat="1" applyFont="1" applyFill="1" applyBorder="1">
      <alignment vertical="center"/>
    </xf>
    <xf numFmtId="0" fontId="6" fillId="9" borderId="24" xfId="0" applyNumberFormat="1" applyFont="1" applyFill="1" applyBorder="1">
      <alignment vertical="center"/>
    </xf>
    <xf numFmtId="0" fontId="6" fillId="0" borderId="6" xfId="0" applyNumberFormat="1" applyFont="1" applyBorder="1">
      <alignment vertical="center"/>
    </xf>
    <xf numFmtId="0" fontId="6" fillId="0" borderId="4" xfId="0" applyNumberFormat="1" applyFont="1" applyBorder="1">
      <alignment vertical="center"/>
    </xf>
    <xf numFmtId="0" fontId="6" fillId="0" borderId="0" xfId="0" applyNumberFormat="1" applyFont="1">
      <alignment vertical="center"/>
    </xf>
    <xf numFmtId="0" fontId="3" fillId="3" borderId="4" xfId="0" applyNumberFormat="1" applyFont="1" applyFill="1" applyBorder="1">
      <alignment vertical="center"/>
    </xf>
    <xf numFmtId="0" fontId="6" fillId="0" borderId="37" xfId="0" applyNumberFormat="1" applyFont="1" applyBorder="1">
      <alignment vertical="center"/>
    </xf>
    <xf numFmtId="0" fontId="0" fillId="0" borderId="24" xfId="0" applyNumberFormat="1" applyBorder="1">
      <alignment vertical="center"/>
    </xf>
    <xf numFmtId="0" fontId="0" fillId="3" borderId="24" xfId="0" applyNumberFormat="1" applyFill="1" applyBorder="1">
      <alignment vertical="center"/>
    </xf>
    <xf numFmtId="0" fontId="0" fillId="3" borderId="71" xfId="0" applyNumberFormat="1" applyFill="1" applyBorder="1">
      <alignment vertical="center"/>
    </xf>
    <xf numFmtId="0" fontId="0" fillId="33" borderId="5" xfId="0" applyNumberFormat="1" applyFill="1" applyBorder="1">
      <alignment vertical="center"/>
    </xf>
    <xf numFmtId="0" fontId="6" fillId="0" borderId="7" xfId="0" applyNumberFormat="1" applyFont="1" applyBorder="1">
      <alignment vertical="center"/>
    </xf>
    <xf numFmtId="0" fontId="6" fillId="0" borderId="132" xfId="0" applyNumberFormat="1" applyFont="1" applyBorder="1">
      <alignment vertical="center"/>
    </xf>
    <xf numFmtId="0" fontId="74" fillId="0" borderId="9" xfId="0" applyNumberFormat="1" applyFont="1" applyBorder="1">
      <alignment vertical="center"/>
    </xf>
    <xf numFmtId="0" fontId="74" fillId="3" borderId="65" xfId="0" applyNumberFormat="1" applyFont="1" applyFill="1" applyBorder="1">
      <alignment vertical="center"/>
    </xf>
    <xf numFmtId="0" fontId="0" fillId="3" borderId="1" xfId="0" applyNumberFormat="1" applyFill="1" applyBorder="1">
      <alignment vertical="center"/>
    </xf>
    <xf numFmtId="0" fontId="0" fillId="3" borderId="70" xfId="0" applyNumberFormat="1" applyFill="1" applyBorder="1">
      <alignment vertical="center"/>
    </xf>
    <xf numFmtId="0" fontId="74" fillId="0" borderId="25" xfId="0" applyNumberFormat="1" applyFont="1" applyBorder="1">
      <alignment vertical="center"/>
    </xf>
    <xf numFmtId="0" fontId="74" fillId="3" borderId="9" xfId="0" applyNumberFormat="1" applyFont="1" applyFill="1" applyBorder="1">
      <alignment vertical="center"/>
    </xf>
    <xf numFmtId="0" fontId="0" fillId="0" borderId="43" xfId="0" applyNumberFormat="1" applyBorder="1">
      <alignment vertical="center"/>
    </xf>
    <xf numFmtId="0" fontId="0" fillId="0" borderId="37" xfId="0" applyNumberFormat="1" applyBorder="1">
      <alignment vertical="center"/>
    </xf>
    <xf numFmtId="0" fontId="0" fillId="0" borderId="43" xfId="0" applyNumberFormat="1" applyBorder="1" applyAlignment="1">
      <alignment horizontal="center" vertical="center"/>
    </xf>
    <xf numFmtId="0" fontId="0" fillId="32" borderId="5" xfId="0" applyNumberFormat="1" applyFill="1" applyBorder="1">
      <alignment vertical="center"/>
    </xf>
    <xf numFmtId="0" fontId="74" fillId="0" borderId="8" xfId="0" applyNumberFormat="1" applyFont="1" applyBorder="1" applyAlignment="1">
      <alignment horizontal="center" vertical="center"/>
    </xf>
    <xf numFmtId="0" fontId="74" fillId="15" borderId="5" xfId="0" applyNumberFormat="1" applyFont="1" applyFill="1" applyBorder="1">
      <alignment vertical="center"/>
    </xf>
    <xf numFmtId="0" fontId="74" fillId="8" borderId="0" xfId="0" applyNumberFormat="1" applyFont="1" applyFill="1">
      <alignment vertical="center"/>
    </xf>
    <xf numFmtId="0" fontId="74" fillId="0" borderId="0" xfId="0" applyNumberFormat="1" applyFont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0" fontId="96" fillId="0" borderId="0" xfId="0" applyNumberFormat="1" applyFont="1" applyAlignment="1">
      <alignment horizontal="left" vertical="top" wrapText="1"/>
    </xf>
    <xf numFmtId="0" fontId="97" fillId="0" borderId="0" xfId="0" applyNumberFormat="1" applyFont="1" applyAlignment="1">
      <alignment horizontal="left" vertical="top" wrapText="1"/>
    </xf>
    <xf numFmtId="0" fontId="97" fillId="0" borderId="0" xfId="0" applyNumberFormat="1" applyFont="1" applyAlignment="1">
      <alignment horizontal="justify" vertical="center"/>
    </xf>
    <xf numFmtId="0" fontId="96" fillId="0" borderId="0" xfId="0" applyNumberFormat="1" applyFont="1" applyAlignment="1">
      <alignment horizontal="justify" vertical="center"/>
    </xf>
    <xf numFmtId="0" fontId="3" fillId="0" borderId="0" xfId="0" applyNumberFormat="1" applyFont="1" applyAlignment="1">
      <alignment horizontal="left" vertical="top" wrapText="1"/>
    </xf>
    <xf numFmtId="0" fontId="95" fillId="0" borderId="0" xfId="0" applyNumberFormat="1" applyFont="1" applyAlignment="1">
      <alignment horizontal="justify" vertical="center"/>
    </xf>
    <xf numFmtId="0" fontId="98" fillId="0" borderId="0" xfId="0" applyNumberFormat="1" applyFont="1" applyAlignment="1">
      <alignment horizontal="justify" vertical="center"/>
    </xf>
    <xf numFmtId="0" fontId="99" fillId="0" borderId="0" xfId="0" applyNumberFormat="1" applyFont="1" applyAlignment="1">
      <alignment horizontal="justify" vertical="center"/>
    </xf>
    <xf numFmtId="0" fontId="100" fillId="0" borderId="0" xfId="0" applyNumberFormat="1" applyFont="1" applyAlignment="1">
      <alignment horizontal="justify" vertical="center"/>
    </xf>
    <xf numFmtId="176" fontId="107" fillId="0" borderId="0" xfId="0" applyNumberFormat="1" applyFont="1" applyAlignment="1">
      <alignment horizontal="center" vertical="center"/>
    </xf>
    <xf numFmtId="0" fontId="106" fillId="0" borderId="0" xfId="0" applyNumberFormat="1" applyFont="1">
      <alignment vertical="center"/>
    </xf>
    <xf numFmtId="0" fontId="74" fillId="0" borderId="0" xfId="0" quotePrefix="1" applyNumberFormat="1" applyFont="1">
      <alignment vertical="center"/>
    </xf>
    <xf numFmtId="0" fontId="58" fillId="0" borderId="0" xfId="0" applyNumberFormat="1" applyFont="1" applyAlignment="1">
      <alignment horizontal="left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 textRotation="255"/>
    </xf>
    <xf numFmtId="0" fontId="57" fillId="0" borderId="0" xfId="0" applyNumberFormat="1" applyFon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57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6" xfId="0" applyNumberFormat="1" applyBorder="1" applyAlignment="1">
      <alignment vertical="center" wrapText="1"/>
    </xf>
    <xf numFmtId="0" fontId="0" fillId="0" borderId="0" xfId="0" applyNumberFormat="1" applyBorder="1" applyAlignment="1">
      <alignment vertical="center" wrapText="1"/>
    </xf>
    <xf numFmtId="177" fontId="124" fillId="0" borderId="0" xfId="0" applyFont="1">
      <alignment vertical="center"/>
    </xf>
    <xf numFmtId="0" fontId="57" fillId="0" borderId="0" xfId="0" applyNumberFormat="1" applyFont="1" applyAlignment="1">
      <alignment horizontal="left" vertical="top" wrapText="1"/>
    </xf>
    <xf numFmtId="0" fontId="97" fillId="9" borderId="0" xfId="0" applyNumberFormat="1" applyFont="1" applyFill="1" applyAlignment="1">
      <alignment horizontal="justify" vertical="center"/>
    </xf>
    <xf numFmtId="0" fontId="0" fillId="0" borderId="71" xfId="0" applyNumberFormat="1" applyBorder="1">
      <alignment vertical="center"/>
    </xf>
    <xf numFmtId="0" fontId="0" fillId="0" borderId="196" xfId="0" applyNumberFormat="1" applyBorder="1">
      <alignment vertical="center"/>
    </xf>
    <xf numFmtId="0" fontId="22" fillId="0" borderId="199" xfId="0" applyNumberFormat="1" applyFont="1" applyBorder="1" applyAlignment="1">
      <alignment horizontal="center" vertical="center" wrapText="1"/>
    </xf>
    <xf numFmtId="0" fontId="22" fillId="0" borderId="200" xfId="0" applyNumberFormat="1" applyFont="1" applyBorder="1" applyAlignment="1">
      <alignment horizontal="center" vertical="center"/>
    </xf>
    <xf numFmtId="0" fontId="22" fillId="0" borderId="199" xfId="0" applyNumberFormat="1" applyFont="1" applyBorder="1" applyAlignment="1">
      <alignment horizontal="center" vertical="center"/>
    </xf>
    <xf numFmtId="0" fontId="0" fillId="0" borderId="199" xfId="0" applyNumberFormat="1" applyBorder="1">
      <alignment vertical="center"/>
    </xf>
    <xf numFmtId="0" fontId="0" fillId="0" borderId="200" xfId="0" applyNumberFormat="1" applyBorder="1">
      <alignment vertical="center"/>
    </xf>
    <xf numFmtId="0" fontId="0" fillId="0" borderId="201" xfId="0" applyNumberFormat="1" applyBorder="1">
      <alignment vertical="center"/>
    </xf>
    <xf numFmtId="0" fontId="0" fillId="0" borderId="202" xfId="0" applyNumberFormat="1" applyBorder="1" applyAlignment="1">
      <alignment vertical="center" wrapText="1"/>
    </xf>
    <xf numFmtId="0" fontId="0" fillId="0" borderId="199" xfId="0" applyNumberFormat="1" applyBorder="1" applyAlignment="1">
      <alignment horizontal="right" vertical="center"/>
    </xf>
    <xf numFmtId="0" fontId="0" fillId="0" borderId="200" xfId="0" applyNumberFormat="1" applyBorder="1" applyAlignment="1">
      <alignment horizontal="right" vertical="center"/>
    </xf>
    <xf numFmtId="0" fontId="0" fillId="0" borderId="202" xfId="0" applyNumberFormat="1" applyBorder="1">
      <alignment vertical="center"/>
    </xf>
    <xf numFmtId="0" fontId="0" fillId="0" borderId="67" xfId="0" applyNumberFormat="1" applyBorder="1">
      <alignment vertical="center"/>
    </xf>
    <xf numFmtId="0" fontId="0" fillId="0" borderId="203" xfId="0" applyNumberFormat="1" applyBorder="1">
      <alignment vertical="center"/>
    </xf>
    <xf numFmtId="0" fontId="0" fillId="0" borderId="204" xfId="0" applyNumberFormat="1" applyBorder="1">
      <alignment vertical="center"/>
    </xf>
    <xf numFmtId="0" fontId="110" fillId="0" borderId="0" xfId="0" applyNumberFormat="1" applyFont="1" applyAlignment="1" applyProtection="1">
      <alignment horizontal="left" vertical="top" wrapText="1"/>
      <protection hidden="1"/>
    </xf>
    <xf numFmtId="0" fontId="110" fillId="0" borderId="0" xfId="0" applyNumberFormat="1" applyFont="1" applyAlignment="1" applyProtection="1">
      <alignment vertical="center" wrapText="1"/>
      <protection hidden="1"/>
    </xf>
    <xf numFmtId="0" fontId="58" fillId="0" borderId="0" xfId="0" applyNumberFormat="1" applyFont="1" applyAlignment="1" applyProtection="1">
      <alignment horizontal="left" vertical="top" wrapText="1"/>
      <protection hidden="1"/>
    </xf>
    <xf numFmtId="0" fontId="0" fillId="0" borderId="0" xfId="0" applyNumberFormat="1" applyProtection="1">
      <alignment vertical="center"/>
    </xf>
    <xf numFmtId="0" fontId="12" fillId="3" borderId="0" xfId="0" applyNumberFormat="1" applyFont="1" applyFill="1" applyProtection="1">
      <alignment vertical="center"/>
    </xf>
    <xf numFmtId="0" fontId="0" fillId="3" borderId="0" xfId="0" applyNumberFormat="1" applyFill="1" applyProtection="1">
      <alignment vertical="center"/>
    </xf>
    <xf numFmtId="0" fontId="12" fillId="9" borderId="0" xfId="0" applyNumberFormat="1" applyFont="1" applyFill="1" applyProtection="1">
      <alignment vertical="center"/>
    </xf>
    <xf numFmtId="0" fontId="3" fillId="0" borderId="21" xfId="0" applyNumberFormat="1" applyFont="1" applyBorder="1" applyProtection="1">
      <alignment vertical="center"/>
    </xf>
    <xf numFmtId="0" fontId="74" fillId="0" borderId="0" xfId="0" applyNumberFormat="1" applyFont="1" applyProtection="1">
      <alignment vertical="center"/>
    </xf>
    <xf numFmtId="0" fontId="0" fillId="12" borderId="102" xfId="0" applyNumberFormat="1" applyFill="1" applyBorder="1" applyAlignment="1" applyProtection="1">
      <alignment horizontal="center" vertical="center"/>
    </xf>
    <xf numFmtId="0" fontId="0" fillId="12" borderId="33" xfId="0" applyNumberFormat="1" applyFill="1" applyBorder="1" applyAlignment="1" applyProtection="1">
      <alignment horizontal="left" vertical="center"/>
    </xf>
    <xf numFmtId="0" fontId="0" fillId="12" borderId="158" xfId="0" applyNumberFormat="1" applyFill="1" applyBorder="1" applyProtection="1">
      <alignment vertical="center"/>
    </xf>
    <xf numFmtId="0" fontId="104" fillId="12" borderId="112" xfId="0" applyNumberFormat="1" applyFont="1" applyFill="1" applyBorder="1" applyProtection="1">
      <alignment vertical="center"/>
    </xf>
    <xf numFmtId="0" fontId="74" fillId="12" borderId="30" xfId="0" applyNumberFormat="1" applyFont="1" applyFill="1" applyBorder="1" applyProtection="1">
      <alignment vertical="center"/>
    </xf>
    <xf numFmtId="0" fontId="0" fillId="8" borderId="12" xfId="0" applyNumberFormat="1" applyFill="1" applyBorder="1" applyProtection="1">
      <alignment vertical="center"/>
    </xf>
    <xf numFmtId="0" fontId="0" fillId="12" borderId="66" xfId="0" applyNumberFormat="1" applyFill="1" applyBorder="1" applyAlignment="1" applyProtection="1">
      <alignment horizontal="center" vertical="center"/>
    </xf>
    <xf numFmtId="0" fontId="0" fillId="12" borderId="34" xfId="0" applyNumberFormat="1" applyFill="1" applyBorder="1" applyAlignment="1" applyProtection="1">
      <alignment horizontal="left" vertical="center"/>
    </xf>
    <xf numFmtId="0" fontId="0" fillId="12" borderId="33" xfId="0" applyNumberFormat="1" applyFill="1" applyBorder="1" applyProtection="1">
      <alignment vertical="center"/>
    </xf>
    <xf numFmtId="0" fontId="0" fillId="12" borderId="66" xfId="0" applyNumberFormat="1" applyFill="1" applyBorder="1" applyProtection="1">
      <alignment vertical="center"/>
    </xf>
    <xf numFmtId="0" fontId="3" fillId="12" borderId="4" xfId="0" applyNumberFormat="1" applyFont="1" applyFill="1" applyBorder="1" applyProtection="1">
      <alignment vertical="center"/>
    </xf>
    <xf numFmtId="0" fontId="3" fillId="12" borderId="5" xfId="0" applyNumberFormat="1" applyFont="1" applyFill="1" applyBorder="1" applyProtection="1">
      <alignment vertical="center"/>
    </xf>
    <xf numFmtId="0" fontId="3" fillId="12" borderId="14" xfId="0" applyNumberFormat="1" applyFont="1" applyFill="1" applyBorder="1" applyProtection="1">
      <alignment vertical="center"/>
    </xf>
    <xf numFmtId="0" fontId="3" fillId="12" borderId="6" xfId="0" applyNumberFormat="1" applyFont="1" applyFill="1" applyBorder="1" applyProtection="1">
      <alignment vertical="center"/>
    </xf>
    <xf numFmtId="0" fontId="0" fillId="8" borderId="5" xfId="0" applyNumberFormat="1" applyFill="1" applyBorder="1" applyProtection="1">
      <alignment vertical="center"/>
    </xf>
    <xf numFmtId="0" fontId="0" fillId="8" borderId="14" xfId="0" applyNumberFormat="1" applyFill="1" applyBorder="1" applyProtection="1">
      <alignment vertical="center"/>
    </xf>
    <xf numFmtId="0" fontId="74" fillId="9" borderId="142" xfId="0" applyNumberFormat="1" applyFont="1" applyFill="1" applyBorder="1" applyAlignment="1" applyProtection="1">
      <alignment horizontal="left" vertical="center"/>
    </xf>
    <xf numFmtId="0" fontId="0" fillId="12" borderId="34" xfId="0" applyNumberFormat="1" applyFill="1" applyBorder="1" applyProtection="1">
      <alignment vertical="center"/>
    </xf>
    <xf numFmtId="0" fontId="74" fillId="12" borderId="66" xfId="0" applyNumberFormat="1" applyFont="1" applyFill="1" applyBorder="1" applyProtection="1">
      <alignment vertical="center"/>
    </xf>
    <xf numFmtId="0" fontId="0" fillId="9" borderId="4" xfId="0" applyNumberFormat="1" applyFill="1" applyBorder="1" applyProtection="1">
      <alignment vertical="center"/>
    </xf>
    <xf numFmtId="0" fontId="0" fillId="9" borderId="5" xfId="0" applyNumberFormat="1" applyFill="1" applyBorder="1" applyProtection="1">
      <alignment vertical="center"/>
    </xf>
    <xf numFmtId="0" fontId="0" fillId="9" borderId="14" xfId="0" applyNumberFormat="1" applyFill="1" applyBorder="1" applyProtection="1">
      <alignment vertical="center"/>
    </xf>
    <xf numFmtId="0" fontId="0" fillId="9" borderId="9" xfId="0" applyNumberFormat="1" applyFill="1" applyBorder="1" applyProtection="1">
      <alignment vertical="center"/>
    </xf>
    <xf numFmtId="0" fontId="0" fillId="9" borderId="6" xfId="0" applyNumberFormat="1" applyFill="1" applyBorder="1" applyProtection="1">
      <alignment vertical="center"/>
    </xf>
    <xf numFmtId="0" fontId="0" fillId="9" borderId="24" xfId="0" applyNumberFormat="1" applyFill="1" applyBorder="1" applyProtection="1">
      <alignment vertical="center"/>
    </xf>
    <xf numFmtId="0" fontId="0" fillId="9" borderId="14" xfId="0" applyNumberFormat="1" applyFill="1" applyBorder="1" applyAlignment="1" applyProtection="1">
      <alignment horizontal="right" vertical="center"/>
    </xf>
    <xf numFmtId="0" fontId="0" fillId="0" borderId="14" xfId="0" applyNumberFormat="1" applyBorder="1" applyProtection="1">
      <alignment vertical="center"/>
    </xf>
    <xf numFmtId="0" fontId="70" fillId="12" borderId="66" xfId="0" applyNumberFormat="1" applyFont="1" applyFill="1" applyBorder="1" applyAlignment="1" applyProtection="1">
      <alignment horizontal="center" vertical="center"/>
    </xf>
    <xf numFmtId="0" fontId="74" fillId="12" borderId="33" xfId="0" applyNumberFormat="1" applyFont="1" applyFill="1" applyBorder="1" applyProtection="1">
      <alignment vertical="center"/>
    </xf>
    <xf numFmtId="0" fontId="74" fillId="12" borderId="113" xfId="0" applyNumberFormat="1" applyFont="1" applyFill="1" applyBorder="1" applyProtection="1">
      <alignment vertical="center"/>
    </xf>
    <xf numFmtId="0" fontId="0" fillId="9" borderId="10" xfId="0" applyNumberFormat="1" applyFill="1" applyBorder="1" applyProtection="1">
      <alignment vertical="center"/>
    </xf>
    <xf numFmtId="0" fontId="0" fillId="9" borderId="26" xfId="0" applyNumberFormat="1" applyFill="1" applyBorder="1" applyAlignment="1" applyProtection="1">
      <alignment horizontal="right" vertical="center"/>
    </xf>
    <xf numFmtId="0" fontId="0" fillId="9" borderId="26" xfId="0" applyNumberFormat="1" applyFill="1" applyBorder="1" applyProtection="1">
      <alignment vertical="center"/>
    </xf>
    <xf numFmtId="0" fontId="0" fillId="12" borderId="142" xfId="0" applyNumberFormat="1" applyFill="1" applyBorder="1" applyProtection="1">
      <alignment vertical="center"/>
    </xf>
    <xf numFmtId="0" fontId="0" fillId="0" borderId="26" xfId="0" applyNumberFormat="1" applyBorder="1" applyProtection="1">
      <alignment vertical="center"/>
    </xf>
    <xf numFmtId="0" fontId="0" fillId="10" borderId="0" xfId="0" applyNumberFormat="1" applyFill="1" applyProtection="1">
      <alignment vertical="center"/>
    </xf>
    <xf numFmtId="0" fontId="74" fillId="10" borderId="5" xfId="0" applyNumberFormat="1" applyFont="1" applyFill="1" applyBorder="1" applyProtection="1">
      <alignment vertical="center"/>
    </xf>
    <xf numFmtId="0" fontId="0" fillId="12" borderId="188" xfId="0" applyNumberFormat="1" applyFill="1" applyBorder="1" applyProtection="1">
      <alignment vertical="center"/>
    </xf>
    <xf numFmtId="0" fontId="0" fillId="12" borderId="3" xfId="0" applyNumberFormat="1" applyFill="1" applyBorder="1" applyProtection="1">
      <alignment vertical="center"/>
    </xf>
    <xf numFmtId="0" fontId="74" fillId="12" borderId="11" xfId="0" applyNumberFormat="1" applyFont="1" applyFill="1" applyBorder="1" applyProtection="1">
      <alignment vertical="center"/>
    </xf>
    <xf numFmtId="0" fontId="0" fillId="12" borderId="164" xfId="0" applyNumberFormat="1" applyFill="1" applyBorder="1" applyProtection="1">
      <alignment vertical="center"/>
    </xf>
    <xf numFmtId="0" fontId="0" fillId="12" borderId="2" xfId="0" applyNumberFormat="1" applyFill="1" applyBorder="1" applyProtection="1">
      <alignment vertical="center"/>
    </xf>
    <xf numFmtId="0" fontId="0" fillId="12" borderId="11" xfId="0" applyNumberFormat="1" applyFill="1" applyBorder="1" applyProtection="1">
      <alignment vertical="center"/>
    </xf>
    <xf numFmtId="0" fontId="74" fillId="12" borderId="189" xfId="0" applyNumberFormat="1" applyFont="1" applyFill="1" applyBorder="1" applyProtection="1">
      <alignment vertical="center"/>
    </xf>
    <xf numFmtId="0" fontId="74" fillId="12" borderId="142" xfId="0" applyNumberFormat="1" applyFont="1" applyFill="1" applyBorder="1" applyProtection="1">
      <alignment vertical="center"/>
    </xf>
    <xf numFmtId="0" fontId="0" fillId="0" borderId="0" xfId="0" applyNumberFormat="1" applyBorder="1" applyProtection="1">
      <alignment vertical="center"/>
    </xf>
    <xf numFmtId="0" fontId="0" fillId="12" borderId="84" xfId="0" applyNumberFormat="1" applyFill="1" applyBorder="1" applyProtection="1">
      <alignment vertical="center"/>
    </xf>
    <xf numFmtId="0" fontId="0" fillId="9" borderId="5" xfId="0" applyNumberFormat="1" applyFill="1" applyBorder="1" applyAlignment="1" applyProtection="1">
      <alignment horizontal="center" vertical="center"/>
    </xf>
    <xf numFmtId="0" fontId="0" fillId="3" borderId="6" xfId="0" applyNumberFormat="1" applyFill="1" applyBorder="1" applyProtection="1">
      <alignment vertical="center"/>
    </xf>
    <xf numFmtId="0" fontId="0" fillId="12" borderId="4" xfId="0" applyNumberFormat="1" applyFill="1" applyBorder="1" applyProtection="1">
      <alignment vertical="center"/>
    </xf>
    <xf numFmtId="0" fontId="74" fillId="9" borderId="6" xfId="0" applyNumberFormat="1" applyFont="1" applyFill="1" applyBorder="1" applyProtection="1">
      <alignment vertical="center"/>
    </xf>
    <xf numFmtId="0" fontId="0" fillId="13" borderId="190" xfId="0" applyNumberFormat="1" applyFill="1" applyBorder="1" applyProtection="1">
      <alignment vertical="center"/>
    </xf>
    <xf numFmtId="0" fontId="0" fillId="3" borderId="5" xfId="0" applyNumberFormat="1" applyFill="1" applyBorder="1" applyProtection="1">
      <alignment vertical="center"/>
    </xf>
    <xf numFmtId="0" fontId="0" fillId="0" borderId="5" xfId="0" applyNumberFormat="1" applyBorder="1" applyProtection="1">
      <alignment vertical="center"/>
    </xf>
    <xf numFmtId="0" fontId="0" fillId="12" borderId="144" xfId="0" applyNumberFormat="1" applyFill="1" applyBorder="1" applyProtection="1">
      <alignment vertical="center"/>
    </xf>
    <xf numFmtId="0" fontId="0" fillId="12" borderId="145" xfId="0" applyNumberFormat="1" applyFill="1" applyBorder="1" applyProtection="1">
      <alignment vertical="center"/>
    </xf>
    <xf numFmtId="0" fontId="0" fillId="12" borderId="86" xfId="0" applyNumberFormat="1" applyFill="1" applyBorder="1" applyProtection="1">
      <alignment vertical="center"/>
    </xf>
    <xf numFmtId="0" fontId="0" fillId="9" borderId="191" xfId="0" applyNumberFormat="1" applyFill="1" applyBorder="1" applyAlignment="1" applyProtection="1">
      <alignment horizontal="center" vertical="center"/>
    </xf>
    <xf numFmtId="0" fontId="0" fillId="12" borderId="194" xfId="0" applyNumberFormat="1" applyFill="1" applyBorder="1" applyProtection="1">
      <alignment vertical="center"/>
    </xf>
    <xf numFmtId="0" fontId="0" fillId="9" borderId="192" xfId="0" applyNumberFormat="1" applyFill="1" applyBorder="1" applyProtection="1">
      <alignment vertical="center"/>
    </xf>
    <xf numFmtId="0" fontId="0" fillId="13" borderId="195" xfId="0" applyNumberFormat="1" applyFill="1" applyBorder="1" applyProtection="1">
      <alignment vertical="center"/>
    </xf>
    <xf numFmtId="0" fontId="0" fillId="12" borderId="151" xfId="0" applyNumberFormat="1" applyFill="1" applyBorder="1" applyProtection="1">
      <alignment vertical="center"/>
    </xf>
    <xf numFmtId="0" fontId="12" fillId="3" borderId="0" xfId="0" applyNumberFormat="1" applyFont="1" applyFill="1" applyBorder="1" applyProtection="1">
      <alignment vertical="center"/>
    </xf>
    <xf numFmtId="0" fontId="12" fillId="35" borderId="2" xfId="0" applyNumberFormat="1" applyFont="1" applyFill="1" applyBorder="1" applyProtection="1">
      <alignment vertical="center"/>
    </xf>
    <xf numFmtId="0" fontId="3" fillId="12" borderId="3" xfId="0" applyNumberFormat="1" applyFont="1" applyFill="1" applyBorder="1" applyProtection="1">
      <alignment vertical="center"/>
    </xf>
    <xf numFmtId="0" fontId="3" fillId="12" borderId="181" xfId="0" applyNumberFormat="1" applyFont="1" applyFill="1" applyBorder="1" applyProtection="1">
      <alignment vertical="center"/>
    </xf>
    <xf numFmtId="0" fontId="3" fillId="12" borderId="0" xfId="0" applyNumberFormat="1" applyFont="1" applyFill="1" applyBorder="1" applyProtection="1">
      <alignment vertical="center"/>
    </xf>
    <xf numFmtId="0" fontId="3" fillId="12" borderId="13" xfId="0" applyNumberFormat="1" applyFont="1" applyFill="1" applyBorder="1" applyProtection="1">
      <alignment vertical="center"/>
    </xf>
    <xf numFmtId="0" fontId="74" fillId="12" borderId="3" xfId="0" applyNumberFormat="1" applyFont="1" applyFill="1" applyBorder="1" applyProtection="1">
      <alignment vertical="center"/>
    </xf>
    <xf numFmtId="0" fontId="0" fillId="12" borderId="5" xfId="0" applyNumberFormat="1" applyFill="1" applyBorder="1" applyAlignment="1" applyProtection="1">
      <alignment horizontal="center" vertical="center"/>
    </xf>
    <xf numFmtId="0" fontId="0" fillId="12" borderId="103" xfId="0" applyNumberFormat="1" applyFill="1" applyBorder="1" applyAlignment="1" applyProtection="1">
      <alignment horizontal="center" vertical="center"/>
    </xf>
    <xf numFmtId="0" fontId="0" fillId="12" borderId="101" xfId="0" applyNumberFormat="1" applyFill="1" applyBorder="1" applyAlignment="1" applyProtection="1">
      <alignment horizontal="center" vertical="center"/>
    </xf>
    <xf numFmtId="0" fontId="0" fillId="12" borderId="58" xfId="0" applyNumberFormat="1" applyFill="1" applyBorder="1" applyAlignment="1" applyProtection="1">
      <alignment horizontal="center" vertical="center"/>
    </xf>
    <xf numFmtId="0" fontId="70" fillId="12" borderId="34" xfId="0" applyNumberFormat="1" applyFont="1" applyFill="1" applyBorder="1" applyProtection="1">
      <alignment vertical="center"/>
    </xf>
    <xf numFmtId="0" fontId="3" fillId="12" borderId="182" xfId="0" applyNumberFormat="1" applyFont="1" applyFill="1" applyBorder="1" applyProtection="1">
      <alignment vertical="center"/>
    </xf>
    <xf numFmtId="0" fontId="69" fillId="10" borderId="0" xfId="0" applyNumberFormat="1" applyFont="1" applyFill="1" applyProtection="1">
      <alignment vertical="center"/>
    </xf>
    <xf numFmtId="0" fontId="0" fillId="12" borderId="5" xfId="0" applyNumberFormat="1" applyFill="1" applyBorder="1" applyProtection="1">
      <alignment vertical="center"/>
    </xf>
    <xf numFmtId="0" fontId="0" fillId="12" borderId="71" xfId="0" applyNumberFormat="1" applyFill="1" applyBorder="1" applyAlignment="1" applyProtection="1">
      <alignment horizontal="center" vertical="center"/>
    </xf>
    <xf numFmtId="0" fontId="0" fillId="12" borderId="43" xfId="0" applyNumberFormat="1" applyFill="1" applyBorder="1" applyAlignment="1" applyProtection="1">
      <alignment horizontal="center" vertical="center"/>
    </xf>
    <xf numFmtId="0" fontId="0" fillId="12" borderId="17" xfId="0" applyNumberFormat="1" applyFill="1" applyBorder="1" applyAlignment="1" applyProtection="1">
      <alignment horizontal="center" vertical="center"/>
    </xf>
    <xf numFmtId="0" fontId="0" fillId="12" borderId="29" xfId="0" applyNumberFormat="1" applyFill="1" applyBorder="1" applyAlignment="1" applyProtection="1">
      <alignment horizontal="center" vertical="center"/>
    </xf>
    <xf numFmtId="0" fontId="74" fillId="12" borderId="27" xfId="0" applyNumberFormat="1" applyFont="1" applyFill="1" applyBorder="1" applyAlignment="1" applyProtection="1">
      <alignment horizontal="center" vertical="center"/>
    </xf>
    <xf numFmtId="0" fontId="70" fillId="12" borderId="152" xfId="0" applyNumberFormat="1" applyFont="1" applyFill="1" applyBorder="1" applyProtection="1">
      <alignment vertical="center"/>
    </xf>
    <xf numFmtId="0" fontId="70" fillId="10" borderId="2" xfId="0" applyNumberFormat="1" applyFont="1" applyFill="1" applyBorder="1" applyProtection="1">
      <alignment vertical="center"/>
    </xf>
    <xf numFmtId="0" fontId="69" fillId="10" borderId="3" xfId="0" applyNumberFormat="1" applyFont="1" applyFill="1" applyBorder="1" applyProtection="1">
      <alignment vertical="center"/>
    </xf>
    <xf numFmtId="0" fontId="69" fillId="10" borderId="3" xfId="0" applyNumberFormat="1" applyFont="1" applyFill="1" applyBorder="1" applyAlignment="1" applyProtection="1">
      <alignment vertical="center"/>
    </xf>
    <xf numFmtId="0" fontId="69" fillId="10" borderId="3" xfId="0" applyNumberFormat="1" applyFont="1" applyFill="1" applyBorder="1" applyAlignment="1" applyProtection="1">
      <alignment horizontal="center" vertical="center"/>
    </xf>
    <xf numFmtId="0" fontId="0" fillId="10" borderId="3" xfId="0" applyNumberFormat="1" applyFill="1" applyBorder="1" applyProtection="1">
      <alignment vertical="center"/>
    </xf>
    <xf numFmtId="0" fontId="0" fillId="10" borderId="12" xfId="0" applyNumberFormat="1" applyFill="1" applyBorder="1" applyProtection="1">
      <alignment vertical="center"/>
    </xf>
    <xf numFmtId="0" fontId="74" fillId="27" borderId="6" xfId="0" applyNumberFormat="1" applyFont="1" applyFill="1" applyBorder="1" applyAlignment="1" applyProtection="1">
      <alignment horizontal="center" vertical="center"/>
    </xf>
    <xf numFmtId="0" fontId="74" fillId="27" borderId="8" xfId="0" applyNumberFormat="1" applyFont="1" applyFill="1" applyBorder="1" applyAlignment="1" applyProtection="1">
      <alignment horizontal="center" vertical="center"/>
    </xf>
    <xf numFmtId="0" fontId="74" fillId="12" borderId="5" xfId="0" applyNumberFormat="1" applyFont="1" applyFill="1" applyBorder="1" applyProtection="1">
      <alignment vertical="center"/>
    </xf>
    <xf numFmtId="0" fontId="0" fillId="12" borderId="7" xfId="0" applyNumberFormat="1" applyFill="1" applyBorder="1" applyAlignment="1" applyProtection="1">
      <alignment horizontal="center" vertical="center"/>
    </xf>
    <xf numFmtId="0" fontId="0" fillId="12" borderId="8" xfId="0" applyNumberFormat="1" applyFill="1" applyBorder="1" applyAlignment="1" applyProtection="1">
      <alignment horizontal="center" vertical="center"/>
    </xf>
    <xf numFmtId="0" fontId="0" fillId="12" borderId="140" xfId="0" applyNumberFormat="1" applyFill="1" applyBorder="1" applyAlignment="1" applyProtection="1">
      <alignment horizontal="center" vertical="center"/>
    </xf>
    <xf numFmtId="0" fontId="69" fillId="12" borderId="2" xfId="0" applyNumberFormat="1" applyFont="1" applyFill="1" applyBorder="1" applyAlignment="1" applyProtection="1">
      <alignment horizontal="center" vertical="center"/>
    </xf>
    <xf numFmtId="0" fontId="74" fillId="12" borderId="151" xfId="0" applyNumberFormat="1" applyFont="1" applyFill="1" applyBorder="1" applyAlignment="1" applyProtection="1">
      <alignment horizontal="left" vertical="center"/>
    </xf>
    <xf numFmtId="0" fontId="0" fillId="12" borderId="33" xfId="0" applyNumberFormat="1" applyFill="1" applyBorder="1" applyAlignment="1" applyProtection="1">
      <alignment horizontal="center" vertical="center"/>
    </xf>
    <xf numFmtId="0" fontId="3" fillId="12" borderId="88" xfId="0" applyNumberFormat="1" applyFont="1" applyFill="1" applyBorder="1" applyProtection="1">
      <alignment vertical="center"/>
    </xf>
    <xf numFmtId="0" fontId="70" fillId="10" borderId="4" xfId="0" applyNumberFormat="1" applyFont="1" applyFill="1" applyBorder="1" applyProtection="1">
      <alignment vertical="center"/>
    </xf>
    <xf numFmtId="0" fontId="126" fillId="10" borderId="5" xfId="0" applyNumberFormat="1" applyFont="1" applyFill="1" applyBorder="1" applyProtection="1">
      <alignment vertical="center"/>
    </xf>
    <xf numFmtId="0" fontId="0" fillId="10" borderId="5" xfId="0" applyNumberFormat="1" applyFill="1" applyBorder="1" applyProtection="1">
      <alignment vertical="center"/>
    </xf>
    <xf numFmtId="0" fontId="0" fillId="10" borderId="14" xfId="0" applyNumberFormat="1" applyFill="1" applyBorder="1" applyProtection="1">
      <alignment vertical="center"/>
    </xf>
    <xf numFmtId="0" fontId="70" fillId="12" borderId="5" xfId="0" applyNumberFormat="1" applyFont="1" applyFill="1" applyBorder="1" applyProtection="1">
      <alignment vertical="center"/>
    </xf>
    <xf numFmtId="0" fontId="74" fillId="12" borderId="8" xfId="0" applyNumberFormat="1" applyFont="1" applyFill="1" applyBorder="1" applyProtection="1">
      <alignment vertical="center"/>
    </xf>
    <xf numFmtId="0" fontId="74" fillId="10" borderId="14" xfId="0" applyNumberFormat="1" applyFont="1" applyFill="1" applyBorder="1" applyProtection="1">
      <alignment vertical="center"/>
    </xf>
    <xf numFmtId="0" fontId="74" fillId="12" borderId="34" xfId="0" applyNumberFormat="1" applyFont="1" applyFill="1" applyBorder="1" applyProtection="1">
      <alignment vertical="center"/>
    </xf>
    <xf numFmtId="0" fontId="0" fillId="12" borderId="34" xfId="0" applyNumberFormat="1" applyFill="1" applyBorder="1" applyAlignment="1" applyProtection="1">
      <alignment horizontal="center" vertical="center"/>
    </xf>
    <xf numFmtId="0" fontId="0" fillId="8" borderId="9" xfId="0" applyNumberFormat="1" applyFill="1" applyBorder="1" applyProtection="1">
      <alignment vertical="center"/>
    </xf>
    <xf numFmtId="0" fontId="0" fillId="0" borderId="10" xfId="0" applyNumberFormat="1" applyBorder="1" applyProtection="1">
      <alignment vertical="center"/>
    </xf>
    <xf numFmtId="0" fontId="0" fillId="0" borderId="21" xfId="0" applyNumberFormat="1" applyBorder="1" applyProtection="1">
      <alignment vertical="center"/>
    </xf>
    <xf numFmtId="0" fontId="3" fillId="12" borderId="10" xfId="0" applyNumberFormat="1" applyFont="1" applyFill="1" applyBorder="1" applyProtection="1">
      <alignment vertical="center"/>
    </xf>
    <xf numFmtId="0" fontId="0" fillId="8" borderId="26" xfId="0" applyNumberFormat="1" applyFill="1" applyBorder="1" applyProtection="1">
      <alignment vertical="center"/>
    </xf>
    <xf numFmtId="0" fontId="127" fillId="10" borderId="4" xfId="0" applyNumberFormat="1" applyFont="1" applyFill="1" applyBorder="1" applyAlignment="1" applyProtection="1">
      <alignment vertical="center" wrapText="1"/>
    </xf>
    <xf numFmtId="0" fontId="0" fillId="12" borderId="6" xfId="0" applyNumberFormat="1" applyFill="1" applyBorder="1" applyProtection="1">
      <alignment vertical="center"/>
    </xf>
    <xf numFmtId="0" fontId="0" fillId="14" borderId="5" xfId="0" applyNumberFormat="1" applyFill="1" applyBorder="1" applyProtection="1">
      <alignment vertical="center"/>
    </xf>
    <xf numFmtId="0" fontId="0" fillId="26" borderId="5" xfId="0" applyNumberFormat="1" applyFill="1" applyBorder="1" applyProtection="1">
      <alignment vertical="center"/>
    </xf>
    <xf numFmtId="0" fontId="0" fillId="9" borderId="8" xfId="0" applyNumberFormat="1" applyFill="1" applyBorder="1" applyProtection="1">
      <alignment vertical="center"/>
    </xf>
    <xf numFmtId="0" fontId="0" fillId="34" borderId="5" xfId="0" applyNumberFormat="1" applyFill="1" applyBorder="1" applyProtection="1">
      <alignment vertical="center"/>
    </xf>
    <xf numFmtId="0" fontId="74" fillId="12" borderId="66" xfId="0" applyNumberFormat="1" applyFont="1" applyFill="1" applyBorder="1" applyAlignment="1" applyProtection="1">
      <alignment horizontal="center" vertical="center"/>
    </xf>
    <xf numFmtId="0" fontId="3" fillId="12" borderId="178" xfId="0" applyNumberFormat="1" applyFont="1" applyFill="1" applyBorder="1" applyProtection="1">
      <alignment vertical="center"/>
    </xf>
    <xf numFmtId="0" fontId="3" fillId="12" borderId="180" xfId="0" applyNumberFormat="1" applyFont="1" applyFill="1" applyBorder="1" applyProtection="1">
      <alignment vertical="center"/>
    </xf>
    <xf numFmtId="0" fontId="128" fillId="10" borderId="5" xfId="0" applyNumberFormat="1" applyFont="1" applyFill="1" applyBorder="1" applyProtection="1">
      <alignment vertical="center"/>
    </xf>
    <xf numFmtId="0" fontId="22" fillId="0" borderId="0" xfId="0" applyNumberFormat="1" applyFont="1" applyProtection="1">
      <alignment vertical="center"/>
    </xf>
    <xf numFmtId="0" fontId="0" fillId="13" borderId="5" xfId="0" applyNumberFormat="1" applyFill="1" applyBorder="1" applyProtection="1">
      <alignment vertical="center"/>
    </xf>
    <xf numFmtId="0" fontId="6" fillId="3" borderId="5" xfId="0" applyNumberFormat="1" applyFont="1" applyFill="1" applyBorder="1" applyProtection="1">
      <alignment vertical="center"/>
    </xf>
    <xf numFmtId="0" fontId="0" fillId="13" borderId="8" xfId="0" applyNumberFormat="1" applyFill="1" applyBorder="1" applyProtection="1">
      <alignment vertical="center"/>
    </xf>
    <xf numFmtId="0" fontId="0" fillId="3" borderId="21" xfId="0" applyNumberFormat="1" applyFill="1" applyBorder="1" applyProtection="1">
      <alignment vertical="center"/>
    </xf>
    <xf numFmtId="0" fontId="0" fillId="13" borderId="14" xfId="0" applyNumberFormat="1" applyFill="1" applyBorder="1" applyProtection="1">
      <alignment vertical="center"/>
    </xf>
    <xf numFmtId="0" fontId="74" fillId="12" borderId="113" xfId="0" applyNumberFormat="1" applyFont="1" applyFill="1" applyBorder="1" applyAlignment="1" applyProtection="1">
      <alignment horizontal="center" vertical="center"/>
    </xf>
    <xf numFmtId="0" fontId="3" fillId="12" borderId="158" xfId="0" applyNumberFormat="1" applyFont="1" applyFill="1" applyBorder="1" applyProtection="1">
      <alignment vertical="center"/>
    </xf>
    <xf numFmtId="0" fontId="0" fillId="12" borderId="152" xfId="0" applyNumberFormat="1" applyFill="1" applyBorder="1" applyAlignment="1" applyProtection="1">
      <alignment horizontal="center" vertical="center"/>
    </xf>
    <xf numFmtId="0" fontId="3" fillId="12" borderId="177" xfId="0" applyNumberFormat="1" applyFont="1" applyFill="1" applyBorder="1" applyProtection="1">
      <alignment vertical="center"/>
    </xf>
    <xf numFmtId="0" fontId="0" fillId="5" borderId="5" xfId="0" applyNumberFormat="1" applyFill="1" applyBorder="1" applyProtection="1">
      <alignment vertical="center"/>
    </xf>
    <xf numFmtId="0" fontId="0" fillId="13" borderId="169" xfId="0" applyNumberFormat="1" applyFill="1" applyBorder="1" applyProtection="1">
      <alignment vertical="center"/>
    </xf>
    <xf numFmtId="0" fontId="3" fillId="5" borderId="170" xfId="0" applyNumberFormat="1" applyFont="1" applyFill="1" applyBorder="1" applyProtection="1">
      <alignment vertical="center"/>
    </xf>
    <xf numFmtId="0" fontId="0" fillId="9" borderId="171" xfId="0" applyNumberFormat="1" applyFill="1" applyBorder="1" applyProtection="1">
      <alignment vertical="center"/>
    </xf>
    <xf numFmtId="0" fontId="0" fillId="13" borderId="19" xfId="0" applyNumberFormat="1" applyFill="1" applyBorder="1" applyProtection="1">
      <alignment vertical="center"/>
    </xf>
    <xf numFmtId="0" fontId="74" fillId="9" borderId="64" xfId="0" applyNumberFormat="1" applyFont="1" applyFill="1" applyBorder="1" applyAlignment="1" applyProtection="1">
      <alignment horizontal="left" vertical="center"/>
    </xf>
    <xf numFmtId="0" fontId="0" fillId="0" borderId="74" xfId="0" applyNumberFormat="1" applyBorder="1" applyProtection="1">
      <alignment vertical="center"/>
    </xf>
    <xf numFmtId="0" fontId="0" fillId="0" borderId="75" xfId="0" applyNumberFormat="1" applyBorder="1" applyProtection="1">
      <alignment vertical="center"/>
    </xf>
    <xf numFmtId="0" fontId="0" fillId="9" borderId="79" xfId="0" applyNumberFormat="1" applyFill="1" applyBorder="1" applyProtection="1">
      <alignment vertical="center"/>
    </xf>
    <xf numFmtId="0" fontId="0" fillId="0" borderId="0" xfId="0" applyNumberFormat="1" applyAlignment="1" applyProtection="1">
      <alignment horizontal="center" vertical="center"/>
    </xf>
    <xf numFmtId="0" fontId="0" fillId="12" borderId="75" xfId="0" applyNumberFormat="1" applyFill="1" applyBorder="1" applyProtection="1">
      <alignment vertical="center"/>
    </xf>
    <xf numFmtId="0" fontId="3" fillId="12" borderId="58" xfId="0" applyNumberFormat="1" applyFont="1" applyFill="1" applyBorder="1" applyProtection="1">
      <alignment vertical="center"/>
    </xf>
    <xf numFmtId="0" fontId="3" fillId="12" borderId="179" xfId="0" applyNumberFormat="1" applyFont="1" applyFill="1" applyBorder="1" applyProtection="1">
      <alignment vertical="center"/>
    </xf>
    <xf numFmtId="0" fontId="3" fillId="12" borderId="175" xfId="0" applyNumberFormat="1" applyFont="1" applyFill="1" applyBorder="1" applyProtection="1">
      <alignment vertical="center"/>
    </xf>
    <xf numFmtId="0" fontId="74" fillId="12" borderId="34" xfId="0" applyNumberFormat="1" applyFont="1" applyFill="1" applyBorder="1" applyAlignment="1" applyProtection="1">
      <alignment horizontal="left" vertical="center"/>
    </xf>
    <xf numFmtId="0" fontId="69" fillId="0" borderId="0" xfId="0" applyNumberFormat="1" applyFont="1" applyProtection="1">
      <alignment vertical="center"/>
    </xf>
    <xf numFmtId="0" fontId="0" fillId="12" borderId="150" xfId="0" applyNumberFormat="1" applyFill="1" applyBorder="1" applyProtection="1">
      <alignment vertical="center"/>
    </xf>
    <xf numFmtId="0" fontId="74" fillId="12" borderId="152" xfId="0" applyNumberFormat="1" applyFont="1" applyFill="1" applyBorder="1" applyProtection="1">
      <alignment vertical="center"/>
    </xf>
    <xf numFmtId="0" fontId="0" fillId="12" borderId="73" xfId="0" applyNumberFormat="1" applyFill="1" applyBorder="1" applyProtection="1">
      <alignment vertical="center"/>
    </xf>
    <xf numFmtId="0" fontId="74" fillId="12" borderId="154" xfId="0" applyNumberFormat="1" applyFont="1" applyFill="1" applyBorder="1" applyProtection="1">
      <alignment vertical="center"/>
    </xf>
    <xf numFmtId="0" fontId="3" fillId="12" borderId="122" xfId="0" applyNumberFormat="1" applyFont="1" applyFill="1" applyBorder="1" applyProtection="1">
      <alignment vertical="center"/>
    </xf>
    <xf numFmtId="0" fontId="112" fillId="36" borderId="33" xfId="0" applyNumberFormat="1" applyFont="1" applyFill="1" applyBorder="1" applyAlignment="1" applyProtection="1">
      <alignment horizontal="center" vertical="center"/>
    </xf>
    <xf numFmtId="0" fontId="0" fillId="9" borderId="174" xfId="0" applyNumberFormat="1" applyFill="1" applyBorder="1" applyProtection="1">
      <alignment vertical="center"/>
    </xf>
    <xf numFmtId="0" fontId="122" fillId="28" borderId="5" xfId="0" applyNumberFormat="1" applyFont="1" applyFill="1" applyBorder="1" applyProtection="1">
      <alignment vertical="center"/>
    </xf>
    <xf numFmtId="0" fontId="112" fillId="36" borderId="34" xfId="0" applyNumberFormat="1" applyFont="1" applyFill="1" applyBorder="1" applyAlignment="1" applyProtection="1">
      <alignment horizontal="center" vertical="center"/>
    </xf>
    <xf numFmtId="0" fontId="0" fillId="28" borderId="5" xfId="0" applyNumberFormat="1" applyFill="1" applyBorder="1" applyProtection="1">
      <alignment vertical="center"/>
    </xf>
    <xf numFmtId="0" fontId="112" fillId="36" borderId="152" xfId="0" applyNumberFormat="1" applyFont="1" applyFill="1" applyBorder="1" applyProtection="1">
      <alignment vertical="center"/>
    </xf>
    <xf numFmtId="0" fontId="3" fillId="12" borderId="20" xfId="0" applyNumberFormat="1" applyFont="1" applyFill="1" applyBorder="1" applyProtection="1">
      <alignment vertical="center"/>
    </xf>
    <xf numFmtId="0" fontId="0" fillId="9" borderId="21" xfId="0" applyNumberFormat="1" applyFill="1" applyBorder="1" applyProtection="1">
      <alignment vertical="center"/>
    </xf>
    <xf numFmtId="0" fontId="3" fillId="12" borderId="24" xfId="0" applyNumberFormat="1" applyFont="1" applyFill="1" applyBorder="1" applyProtection="1">
      <alignment vertical="center"/>
    </xf>
    <xf numFmtId="0" fontId="3" fillId="12" borderId="21" xfId="0" applyNumberFormat="1" applyFont="1" applyFill="1" applyBorder="1" applyProtection="1">
      <alignment vertical="center"/>
    </xf>
    <xf numFmtId="0" fontId="0" fillId="4" borderId="9" xfId="0" applyNumberFormat="1" applyFill="1" applyBorder="1" applyProtection="1">
      <alignment vertical="center"/>
    </xf>
    <xf numFmtId="0" fontId="3" fillId="12" borderId="11" xfId="0" applyNumberFormat="1" applyFont="1" applyFill="1" applyBorder="1" applyProtection="1">
      <alignment vertical="center"/>
    </xf>
    <xf numFmtId="0" fontId="3" fillId="12" borderId="111" xfId="0" applyNumberFormat="1" applyFont="1" applyFill="1" applyBorder="1" applyProtection="1">
      <alignment vertical="center"/>
    </xf>
    <xf numFmtId="0" fontId="0" fillId="12" borderId="149" xfId="0" applyNumberFormat="1" applyFill="1" applyBorder="1" applyProtection="1">
      <alignment vertical="center"/>
    </xf>
    <xf numFmtId="0" fontId="0" fillId="12" borderId="9" xfId="0" applyNumberFormat="1" applyFill="1" applyBorder="1" applyProtection="1">
      <alignment vertical="center"/>
    </xf>
    <xf numFmtId="0" fontId="74" fillId="27" borderId="33" xfId="0" applyNumberFormat="1" applyFont="1" applyFill="1" applyBorder="1" applyAlignment="1" applyProtection="1">
      <alignment horizontal="center" vertical="center"/>
    </xf>
    <xf numFmtId="0" fontId="74" fillId="3" borderId="58" xfId="0" applyNumberFormat="1" applyFont="1" applyFill="1" applyBorder="1" applyProtection="1">
      <alignment vertical="center"/>
    </xf>
    <xf numFmtId="0" fontId="74" fillId="27" borderId="153" xfId="0" applyNumberFormat="1" applyFont="1" applyFill="1" applyBorder="1" applyAlignment="1" applyProtection="1">
      <alignment horizontal="center" vertical="center"/>
    </xf>
    <xf numFmtId="0" fontId="0" fillId="12" borderId="152" xfId="0" applyNumberFormat="1" applyFill="1" applyBorder="1" applyProtection="1">
      <alignment vertical="center"/>
    </xf>
    <xf numFmtId="0" fontId="0" fillId="27" borderId="142" xfId="0" applyNumberFormat="1" applyFill="1" applyBorder="1" applyAlignment="1" applyProtection="1">
      <alignment horizontal="center" vertical="center"/>
    </xf>
    <xf numFmtId="0" fontId="74" fillId="27" borderId="74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Protection="1">
      <alignment vertical="center"/>
    </xf>
    <xf numFmtId="0" fontId="74" fillId="0" borderId="0" xfId="0" applyNumberFormat="1" applyFont="1" applyFill="1" applyBorder="1" applyAlignment="1" applyProtection="1">
      <alignment horizontal="center" vertical="center"/>
    </xf>
    <xf numFmtId="0" fontId="74" fillId="0" borderId="0" xfId="0" applyNumberFormat="1" applyFont="1" applyFill="1" applyBorder="1" applyProtection="1">
      <alignment vertical="center"/>
    </xf>
    <xf numFmtId="0" fontId="0" fillId="0" borderId="42" xfId="0" applyNumberFormat="1" applyFill="1" applyBorder="1" applyAlignment="1" applyProtection="1">
      <alignment horizontal="center" vertical="center"/>
    </xf>
    <xf numFmtId="0" fontId="74" fillId="0" borderId="17" xfId="0" applyNumberFormat="1" applyFont="1" applyFill="1" applyBorder="1" applyProtection="1">
      <alignment vertical="center"/>
    </xf>
    <xf numFmtId="0" fontId="0" fillId="0" borderId="0" xfId="0" applyNumberFormat="1" applyFill="1" applyAlignment="1" applyProtection="1">
      <alignment horizontal="center" vertical="center"/>
    </xf>
    <xf numFmtId="0" fontId="74" fillId="0" borderId="0" xfId="0" applyNumberFormat="1" applyFont="1" applyFill="1" applyProtection="1">
      <alignment vertical="center"/>
    </xf>
    <xf numFmtId="0" fontId="0" fillId="12" borderId="25" xfId="0" applyNumberFormat="1" applyFill="1" applyBorder="1" applyAlignment="1" applyProtection="1">
      <alignment horizontal="center" vertical="center"/>
    </xf>
    <xf numFmtId="0" fontId="0" fillId="5" borderId="6" xfId="0" applyNumberFormat="1" applyFill="1" applyBorder="1" applyProtection="1">
      <alignment vertical="center"/>
    </xf>
    <xf numFmtId="0" fontId="0" fillId="12" borderId="4" xfId="0" applyNumberFormat="1" applyFill="1" applyBorder="1" applyAlignment="1" applyProtection="1">
      <alignment horizontal="center" vertical="center"/>
    </xf>
    <xf numFmtId="0" fontId="0" fillId="12" borderId="9" xfId="0" applyNumberFormat="1" applyFill="1" applyBorder="1" applyAlignment="1" applyProtection="1">
      <alignment horizontal="center" vertical="center"/>
    </xf>
    <xf numFmtId="0" fontId="74" fillId="5" borderId="15" xfId="0" applyNumberFormat="1" applyFont="1" applyFill="1" applyBorder="1" applyProtection="1">
      <alignment vertical="center"/>
    </xf>
    <xf numFmtId="0" fontId="3" fillId="12" borderId="2" xfId="0" applyNumberFormat="1" applyFont="1" applyFill="1" applyBorder="1" applyProtection="1">
      <alignment vertical="center"/>
    </xf>
    <xf numFmtId="0" fontId="0" fillId="12" borderId="3" xfId="0" applyNumberFormat="1" applyFill="1" applyBorder="1" applyAlignment="1" applyProtection="1"/>
    <xf numFmtId="0" fontId="37" fillId="12" borderId="3" xfId="0" applyNumberFormat="1" applyFont="1" applyFill="1" applyBorder="1" applyAlignment="1" applyProtection="1"/>
    <xf numFmtId="0" fontId="0" fillId="12" borderId="51" xfId="0" applyNumberFormat="1" applyFill="1" applyBorder="1" applyProtection="1">
      <alignment vertical="center"/>
    </xf>
    <xf numFmtId="0" fontId="0" fillId="12" borderId="58" xfId="0" applyNumberFormat="1" applyFill="1" applyBorder="1" applyProtection="1">
      <alignment vertical="center"/>
    </xf>
    <xf numFmtId="0" fontId="0" fillId="12" borderId="156" xfId="0" applyNumberFormat="1" applyFill="1" applyBorder="1" applyProtection="1">
      <alignment vertical="center"/>
    </xf>
    <xf numFmtId="0" fontId="0" fillId="3" borderId="165" xfId="0" applyNumberFormat="1" applyFill="1" applyBorder="1" applyProtection="1">
      <alignment vertical="center"/>
    </xf>
    <xf numFmtId="0" fontId="0" fillId="9" borderId="21" xfId="0" applyNumberFormat="1" applyFill="1" applyBorder="1" applyAlignment="1" applyProtection="1"/>
    <xf numFmtId="0" fontId="0" fillId="12" borderId="29" xfId="0" applyNumberFormat="1" applyFill="1" applyBorder="1" applyProtection="1">
      <alignment vertical="center"/>
    </xf>
    <xf numFmtId="0" fontId="0" fillId="12" borderId="8" xfId="0" applyNumberFormat="1" applyFill="1" applyBorder="1" applyProtection="1">
      <alignment vertical="center"/>
    </xf>
    <xf numFmtId="0" fontId="0" fillId="3" borderId="10" xfId="0" applyNumberFormat="1" applyFill="1" applyBorder="1" applyAlignment="1" applyProtection="1"/>
    <xf numFmtId="0" fontId="0" fillId="9" borderId="10" xfId="0" applyNumberFormat="1" applyFill="1" applyBorder="1" applyAlignment="1" applyProtection="1"/>
    <xf numFmtId="0" fontId="0" fillId="3" borderId="10" xfId="0" applyNumberFormat="1" applyFill="1" applyBorder="1" applyProtection="1">
      <alignment vertical="center"/>
    </xf>
    <xf numFmtId="0" fontId="0" fillId="11" borderId="26" xfId="0" applyNumberFormat="1" applyFill="1" applyBorder="1" applyProtection="1">
      <alignment vertical="center"/>
    </xf>
    <xf numFmtId="0" fontId="0" fillId="12" borderId="157" xfId="0" applyNumberFormat="1" applyFill="1" applyBorder="1" applyProtection="1">
      <alignment vertical="center"/>
    </xf>
    <xf numFmtId="0" fontId="0" fillId="3" borderId="166" xfId="0" applyNumberFormat="1" applyFill="1" applyBorder="1" applyProtection="1">
      <alignment vertical="center"/>
    </xf>
    <xf numFmtId="0" fontId="3" fillId="12" borderId="115" xfId="0" applyNumberFormat="1" applyFont="1" applyFill="1" applyBorder="1" applyAlignment="1" applyProtection="1">
      <alignment horizontal="center" vertical="center"/>
    </xf>
    <xf numFmtId="0" fontId="3" fillId="12" borderId="116" xfId="0" applyNumberFormat="1" applyFont="1" applyFill="1" applyBorder="1" applyProtection="1">
      <alignment vertical="center"/>
    </xf>
    <xf numFmtId="0" fontId="3" fillId="12" borderId="117" xfId="0" applyNumberFormat="1" applyFont="1" applyFill="1" applyBorder="1" applyProtection="1">
      <alignment vertical="center"/>
    </xf>
    <xf numFmtId="0" fontId="3" fillId="0" borderId="0" xfId="0" applyNumberFormat="1" applyFont="1" applyProtection="1">
      <alignment vertical="center"/>
    </xf>
    <xf numFmtId="0" fontId="3" fillId="12" borderId="118" xfId="0" applyNumberFormat="1" applyFont="1" applyFill="1" applyBorder="1" applyAlignment="1" applyProtection="1">
      <alignment horizontal="center" vertical="center"/>
    </xf>
    <xf numFmtId="0" fontId="3" fillId="3" borderId="119" xfId="0" applyNumberFormat="1" applyFont="1" applyFill="1" applyBorder="1" applyProtection="1">
      <alignment vertical="center"/>
    </xf>
    <xf numFmtId="0" fontId="3" fillId="9" borderId="120" xfId="0" applyNumberFormat="1" applyFont="1" applyFill="1" applyBorder="1" applyProtection="1">
      <alignment vertical="center"/>
    </xf>
    <xf numFmtId="0" fontId="0" fillId="20" borderId="0" xfId="0" applyNumberFormat="1" applyFill="1" applyProtection="1">
      <alignment vertical="center"/>
    </xf>
    <xf numFmtId="0" fontId="0" fillId="12" borderId="0" xfId="0" applyNumberFormat="1" applyFill="1" applyProtection="1">
      <alignment vertical="center"/>
    </xf>
    <xf numFmtId="0" fontId="70" fillId="12" borderId="21" xfId="0" applyNumberFormat="1" applyFont="1" applyFill="1" applyBorder="1" applyProtection="1">
      <alignment vertical="center"/>
    </xf>
    <xf numFmtId="0" fontId="8" fillId="12" borderId="8" xfId="0" applyNumberFormat="1" applyFont="1" applyFill="1" applyBorder="1" applyProtection="1">
      <alignment vertical="center"/>
    </xf>
    <xf numFmtId="0" fontId="7" fillId="11" borderId="31" xfId="0" applyNumberFormat="1" applyFont="1" applyFill="1" applyBorder="1" applyProtection="1">
      <alignment vertical="center"/>
    </xf>
    <xf numFmtId="0" fontId="7" fillId="12" borderId="7" xfId="0" applyNumberFormat="1" applyFont="1" applyFill="1" applyBorder="1" applyProtection="1">
      <alignment vertical="center"/>
    </xf>
    <xf numFmtId="0" fontId="0" fillId="12" borderId="6" xfId="0" applyNumberFormat="1" applyFill="1" applyBorder="1" applyAlignment="1" applyProtection="1">
      <alignment horizontal="center" vertical="center"/>
    </xf>
    <xf numFmtId="0" fontId="0" fillId="9" borderId="97" xfId="0" applyNumberFormat="1" applyFill="1" applyBorder="1" applyProtection="1">
      <alignment vertical="center"/>
    </xf>
    <xf numFmtId="0" fontId="38" fillId="12" borderId="6" xfId="0" applyNumberFormat="1" applyFont="1" applyFill="1" applyBorder="1" applyProtection="1">
      <alignment vertical="center"/>
    </xf>
    <xf numFmtId="0" fontId="3" fillId="3" borderId="97" xfId="0" applyNumberFormat="1" applyFont="1" applyFill="1" applyBorder="1" applyProtection="1">
      <alignment vertical="center"/>
    </xf>
    <xf numFmtId="0" fontId="0" fillId="9" borderId="37" xfId="0" applyNumberFormat="1" applyFill="1" applyBorder="1" applyProtection="1">
      <alignment vertical="center"/>
    </xf>
    <xf numFmtId="0" fontId="8" fillId="12" borderId="24" xfId="0" applyNumberFormat="1" applyFont="1" applyFill="1" applyBorder="1" applyProtection="1">
      <alignment vertical="center"/>
    </xf>
    <xf numFmtId="0" fontId="8" fillId="29" borderId="43" xfId="0" applyNumberFormat="1" applyFont="1" applyFill="1" applyBorder="1" applyProtection="1">
      <alignment vertical="center"/>
    </xf>
    <xf numFmtId="0" fontId="8" fillId="29" borderId="37" xfId="0" applyNumberFormat="1" applyFont="1" applyFill="1" applyBorder="1" applyProtection="1">
      <alignment vertical="center"/>
    </xf>
    <xf numFmtId="0" fontId="7" fillId="5" borderId="97" xfId="0" applyNumberFormat="1" applyFont="1" applyFill="1" applyBorder="1" applyProtection="1">
      <alignment vertical="center"/>
    </xf>
    <xf numFmtId="0" fontId="8" fillId="9" borderId="43" xfId="0" applyNumberFormat="1" applyFont="1" applyFill="1" applyBorder="1" applyProtection="1">
      <alignment vertical="center"/>
    </xf>
    <xf numFmtId="0" fontId="0" fillId="9" borderId="99" xfId="0" applyNumberFormat="1" applyFill="1" applyBorder="1" applyProtection="1">
      <alignment vertical="center"/>
    </xf>
    <xf numFmtId="0" fontId="3" fillId="3" borderId="98" xfId="0" applyNumberFormat="1" applyFont="1" applyFill="1" applyBorder="1" applyProtection="1">
      <alignment vertical="center"/>
    </xf>
    <xf numFmtId="0" fontId="3" fillId="12" borderId="79" xfId="0" applyNumberFormat="1" applyFont="1" applyFill="1" applyBorder="1" applyAlignment="1" applyProtection="1">
      <alignment horizontal="center" vertical="center"/>
    </xf>
    <xf numFmtId="0" fontId="0" fillId="3" borderId="121" xfId="0" applyNumberFormat="1" applyFill="1" applyBorder="1" applyProtection="1">
      <alignment vertical="center"/>
    </xf>
    <xf numFmtId="0" fontId="7" fillId="12" borderId="97" xfId="0" applyNumberFormat="1" applyFont="1" applyFill="1" applyBorder="1" applyProtection="1">
      <alignment vertical="center"/>
    </xf>
    <xf numFmtId="0" fontId="0" fillId="12" borderId="21" xfId="0" applyNumberFormat="1" applyFill="1" applyBorder="1" applyAlignment="1" applyProtection="1">
      <alignment horizontal="center" vertical="center"/>
    </xf>
    <xf numFmtId="0" fontId="3" fillId="8" borderId="5" xfId="0" applyNumberFormat="1" applyFont="1" applyFill="1" applyBorder="1" applyAlignment="1" applyProtection="1">
      <alignment horizontal="center" vertical="center"/>
    </xf>
    <xf numFmtId="0" fontId="0" fillId="3" borderId="122" xfId="0" applyNumberFormat="1" applyFill="1" applyBorder="1" applyProtection="1">
      <alignment vertical="center"/>
    </xf>
    <xf numFmtId="0" fontId="0" fillId="9" borderId="42" xfId="0" applyNumberFormat="1" applyFill="1" applyBorder="1" applyProtection="1">
      <alignment vertical="center"/>
    </xf>
    <xf numFmtId="0" fontId="3" fillId="11" borderId="12" xfId="0" applyNumberFormat="1" applyFont="1" applyFill="1" applyBorder="1" applyProtection="1">
      <alignment vertical="center"/>
    </xf>
    <xf numFmtId="0" fontId="3" fillId="11" borderId="32" xfId="0" applyNumberFormat="1" applyFont="1" applyFill="1" applyBorder="1" applyProtection="1">
      <alignment vertical="center"/>
    </xf>
    <xf numFmtId="0" fontId="3" fillId="11" borderId="5" xfId="0" applyNumberFormat="1" applyFont="1" applyFill="1" applyBorder="1" applyProtection="1">
      <alignment vertical="center"/>
    </xf>
    <xf numFmtId="0" fontId="6" fillId="12" borderId="20" xfId="0" applyNumberFormat="1" applyFont="1" applyFill="1" applyBorder="1" applyAlignment="1" applyProtection="1">
      <alignment horizontal="center" vertical="center"/>
    </xf>
    <xf numFmtId="0" fontId="61" fillId="11" borderId="32" xfId="0" applyNumberFormat="1" applyFont="1" applyFill="1" applyBorder="1" applyProtection="1">
      <alignment vertical="center"/>
    </xf>
    <xf numFmtId="0" fontId="3" fillId="12" borderId="21" xfId="0" applyNumberFormat="1" applyFont="1" applyFill="1" applyBorder="1" applyAlignment="1" applyProtection="1">
      <alignment horizontal="center" vertical="center"/>
    </xf>
    <xf numFmtId="0" fontId="0" fillId="11" borderId="21" xfId="0" applyNumberFormat="1" applyFill="1" applyBorder="1" applyProtection="1">
      <alignment vertical="center"/>
    </xf>
    <xf numFmtId="0" fontId="69" fillId="27" borderId="123" xfId="0" applyNumberFormat="1" applyFont="1" applyFill="1" applyBorder="1" applyAlignment="1" applyProtection="1">
      <alignment horizontal="center" vertical="center"/>
    </xf>
    <xf numFmtId="0" fontId="0" fillId="11" borderId="124" xfId="0" applyNumberFormat="1" applyFill="1" applyBorder="1" applyProtection="1">
      <alignment vertical="center"/>
    </xf>
    <xf numFmtId="0" fontId="69" fillId="27" borderId="125" xfId="0" applyNumberFormat="1" applyFont="1" applyFill="1" applyBorder="1" applyAlignment="1" applyProtection="1">
      <alignment horizontal="center" vertical="center"/>
    </xf>
    <xf numFmtId="0" fontId="0" fillId="11" borderId="126" xfId="0" applyNumberFormat="1" applyFill="1" applyBorder="1" applyProtection="1">
      <alignment vertical="center"/>
    </xf>
    <xf numFmtId="0" fontId="69" fillId="28" borderId="5" xfId="0" applyNumberFormat="1" applyFont="1" applyFill="1" applyBorder="1" applyAlignment="1" applyProtection="1">
      <alignment horizontal="center" vertical="center"/>
    </xf>
    <xf numFmtId="0" fontId="7" fillId="5" borderId="98" xfId="0" applyNumberFormat="1" applyFont="1" applyFill="1" applyBorder="1" applyProtection="1">
      <alignment vertical="center"/>
    </xf>
    <xf numFmtId="0" fontId="0" fillId="29" borderId="5" xfId="0" applyNumberFormat="1" applyFill="1" applyBorder="1" applyProtection="1">
      <alignment vertical="center"/>
    </xf>
    <xf numFmtId="0" fontId="10" fillId="12" borderId="6" xfId="0" applyNumberFormat="1" applyFont="1" applyFill="1" applyBorder="1" applyProtection="1">
      <alignment vertical="center"/>
    </xf>
    <xf numFmtId="0" fontId="3" fillId="3" borderId="128" xfId="0" applyNumberFormat="1" applyFont="1" applyFill="1" applyBorder="1" applyProtection="1">
      <alignment vertical="center"/>
    </xf>
    <xf numFmtId="0" fontId="10" fillId="12" borderId="67" xfId="0" applyNumberFormat="1" applyFont="1" applyFill="1" applyBorder="1" applyProtection="1">
      <alignment vertical="center"/>
    </xf>
    <xf numFmtId="0" fontId="0" fillId="3" borderId="129" xfId="0" applyNumberFormat="1" applyFill="1" applyBorder="1" applyProtection="1">
      <alignment vertical="center"/>
    </xf>
    <xf numFmtId="0" fontId="3" fillId="3" borderId="130" xfId="0" applyNumberFormat="1" applyFont="1" applyFill="1" applyBorder="1" applyProtection="1">
      <alignment vertical="center"/>
    </xf>
    <xf numFmtId="0" fontId="0" fillId="9" borderId="31" xfId="0" applyNumberFormat="1" applyFill="1" applyBorder="1" applyProtection="1">
      <alignment vertical="center"/>
    </xf>
    <xf numFmtId="0" fontId="7" fillId="5" borderId="99" xfId="0" applyNumberFormat="1" applyFont="1" applyFill="1" applyBorder="1" applyProtection="1">
      <alignment vertical="center"/>
    </xf>
    <xf numFmtId="0" fontId="0" fillId="11" borderId="0" xfId="0" applyNumberFormat="1" applyFill="1" applyProtection="1">
      <alignment vertical="center"/>
    </xf>
    <xf numFmtId="0" fontId="8" fillId="5" borderId="24" xfId="0" applyNumberFormat="1" applyFont="1" applyFill="1" applyBorder="1" applyProtection="1">
      <alignment vertical="center"/>
    </xf>
    <xf numFmtId="0" fontId="8" fillId="0" borderId="24" xfId="0" applyNumberFormat="1" applyFont="1" applyBorder="1" applyProtection="1">
      <alignment vertical="center"/>
    </xf>
    <xf numFmtId="0" fontId="3" fillId="11" borderId="0" xfId="0" applyNumberFormat="1" applyFont="1" applyFill="1" applyProtection="1">
      <alignment vertical="center"/>
    </xf>
    <xf numFmtId="0" fontId="8" fillId="11" borderId="24" xfId="0" applyNumberFormat="1" applyFont="1" applyFill="1" applyBorder="1" applyProtection="1">
      <alignment vertical="center"/>
    </xf>
    <xf numFmtId="0" fontId="8" fillId="5" borderId="43" xfId="0" applyNumberFormat="1" applyFont="1" applyFill="1" applyBorder="1" applyProtection="1">
      <alignment vertical="center"/>
    </xf>
    <xf numFmtId="0" fontId="8" fillId="0" borderId="43" xfId="0" applyNumberFormat="1" applyFont="1" applyBorder="1" applyProtection="1">
      <alignment vertical="center"/>
    </xf>
    <xf numFmtId="0" fontId="71" fillId="0" borderId="0" xfId="0" applyNumberFormat="1" applyFont="1" applyAlignment="1" applyProtection="1">
      <alignment horizontal="center" vertical="center"/>
    </xf>
    <xf numFmtId="0" fontId="72" fillId="12" borderId="21" xfId="0" applyNumberFormat="1" applyFont="1" applyFill="1" applyBorder="1" applyProtection="1">
      <alignment vertical="center"/>
    </xf>
    <xf numFmtId="0" fontId="72" fillId="12" borderId="31" xfId="0" applyNumberFormat="1" applyFont="1" applyFill="1" applyBorder="1" applyProtection="1">
      <alignment vertical="center"/>
    </xf>
    <xf numFmtId="0" fontId="72" fillId="12" borderId="8" xfId="0" applyNumberFormat="1" applyFont="1" applyFill="1" applyBorder="1" applyProtection="1">
      <alignment vertical="center"/>
    </xf>
    <xf numFmtId="0" fontId="72" fillId="12" borderId="0" xfId="0" applyNumberFormat="1" applyFont="1" applyFill="1" applyProtection="1">
      <alignment vertical="center"/>
    </xf>
    <xf numFmtId="0" fontId="73" fillId="3" borderId="127" xfId="0" applyNumberFormat="1" applyFont="1" applyFill="1" applyBorder="1" applyProtection="1">
      <alignment vertical="center"/>
    </xf>
    <xf numFmtId="0" fontId="73" fillId="3" borderId="122" xfId="0" applyNumberFormat="1" applyFont="1" applyFill="1" applyBorder="1" applyProtection="1">
      <alignment vertical="center"/>
    </xf>
    <xf numFmtId="0" fontId="72" fillId="30" borderId="37" xfId="0" applyNumberFormat="1" applyFont="1" applyFill="1" applyBorder="1" applyProtection="1">
      <alignment vertical="center"/>
    </xf>
    <xf numFmtId="0" fontId="72" fillId="9" borderId="111" xfId="0" applyNumberFormat="1" applyFont="1" applyFill="1" applyBorder="1" applyProtection="1">
      <alignment vertical="center"/>
    </xf>
    <xf numFmtId="0" fontId="72" fillId="31" borderId="0" xfId="0" applyNumberFormat="1" applyFont="1" applyFill="1" applyProtection="1">
      <alignment vertical="center"/>
    </xf>
    <xf numFmtId="0" fontId="72" fillId="0" borderId="0" xfId="0" applyNumberFormat="1" applyFont="1" applyProtection="1">
      <alignment vertical="center"/>
    </xf>
    <xf numFmtId="0" fontId="23" fillId="0" borderId="53" xfId="0" applyNumberFormat="1" applyFont="1" applyBorder="1" applyAlignment="1" applyProtection="1">
      <alignment horizontal="center" vertical="top" wrapText="1"/>
    </xf>
    <xf numFmtId="0" fontId="23" fillId="0" borderId="54" xfId="0" applyNumberFormat="1" applyFont="1" applyBorder="1" applyAlignment="1" applyProtection="1">
      <alignment horizontal="center" vertical="top" wrapText="1"/>
    </xf>
    <xf numFmtId="0" fontId="23" fillId="0" borderId="54" xfId="0" applyNumberFormat="1" applyFont="1" applyBorder="1" applyAlignment="1" applyProtection="1">
      <alignment horizontal="right" vertical="top" wrapText="1"/>
    </xf>
    <xf numFmtId="0" fontId="23" fillId="0" borderId="55" xfId="0" applyNumberFormat="1" applyFont="1" applyBorder="1" applyAlignment="1" applyProtection="1">
      <alignment horizontal="center" vertical="top" wrapText="1"/>
    </xf>
    <xf numFmtId="0" fontId="23" fillId="0" borderId="56" xfId="0" applyNumberFormat="1" applyFont="1" applyBorder="1" applyAlignment="1" applyProtection="1">
      <alignment horizontal="right" vertical="top" wrapText="1"/>
    </xf>
    <xf numFmtId="0" fontId="23" fillId="0" borderId="56" xfId="0" applyNumberFormat="1" applyFont="1" applyBorder="1" applyAlignment="1" applyProtection="1">
      <alignment horizontal="center" vertical="top" wrapText="1"/>
    </xf>
    <xf numFmtId="0" fontId="72" fillId="3" borderId="127" xfId="0" applyNumberFormat="1" applyFont="1" applyFill="1" applyBorder="1" applyProtection="1">
      <alignment vertical="center"/>
    </xf>
    <xf numFmtId="0" fontId="72" fillId="3" borderId="122" xfId="0" applyNumberFormat="1" applyFont="1" applyFill="1" applyBorder="1" applyProtection="1">
      <alignment vertical="center"/>
    </xf>
    <xf numFmtId="0" fontId="72" fillId="3" borderId="111" xfId="0" applyNumberFormat="1" applyFont="1" applyFill="1" applyBorder="1" applyProtection="1">
      <alignment vertical="center"/>
    </xf>
    <xf numFmtId="0" fontId="23" fillId="0" borderId="56" xfId="0" applyNumberFormat="1" applyFont="1" applyBorder="1" applyAlignment="1" applyProtection="1">
      <alignment horizontal="left" vertical="top" wrapText="1"/>
    </xf>
    <xf numFmtId="0" fontId="62" fillId="5" borderId="152" xfId="1" applyNumberFormat="1" applyFill="1" applyBorder="1" applyAlignment="1" applyProtection="1">
      <alignment vertical="center"/>
      <protection locked="0"/>
    </xf>
    <xf numFmtId="0" fontId="0" fillId="3" borderId="159" xfId="0" applyNumberFormat="1" applyFill="1" applyBorder="1" applyProtection="1">
      <alignment vertical="center"/>
      <protection locked="0"/>
    </xf>
    <xf numFmtId="0" fontId="74" fillId="3" borderId="160" xfId="0" applyNumberFormat="1" applyFont="1" applyFill="1" applyBorder="1" applyProtection="1">
      <alignment vertical="center"/>
      <protection locked="0"/>
    </xf>
    <xf numFmtId="0" fontId="0" fillId="3" borderId="161" xfId="0" applyNumberFormat="1" applyFill="1" applyBorder="1" applyProtection="1">
      <alignment vertical="center"/>
      <protection locked="0"/>
    </xf>
    <xf numFmtId="0" fontId="0" fillId="5" borderId="150" xfId="0" applyNumberFormat="1" applyFill="1" applyBorder="1" applyProtection="1">
      <alignment vertical="center"/>
      <protection locked="0"/>
    </xf>
    <xf numFmtId="0" fontId="74" fillId="3" borderId="162" xfId="0" applyNumberFormat="1" applyFont="1" applyFill="1" applyBorder="1" applyProtection="1">
      <alignment vertical="center"/>
      <protection locked="0"/>
    </xf>
    <xf numFmtId="0" fontId="0" fillId="9" borderId="162" xfId="0" applyNumberFormat="1" applyFill="1" applyBorder="1" applyProtection="1">
      <alignment vertical="center"/>
      <protection locked="0"/>
    </xf>
    <xf numFmtId="0" fontId="0" fillId="3" borderId="160" xfId="0" applyNumberFormat="1" applyFill="1" applyBorder="1" applyProtection="1">
      <alignment vertical="center"/>
      <protection locked="0"/>
    </xf>
    <xf numFmtId="0" fontId="0" fillId="5" borderId="151" xfId="0" applyNumberFormat="1" applyFill="1" applyBorder="1" applyProtection="1">
      <alignment vertical="center"/>
      <protection locked="0"/>
    </xf>
    <xf numFmtId="0" fontId="0" fillId="5" borderId="34" xfId="0" applyNumberFormat="1" applyFill="1" applyBorder="1" applyProtection="1">
      <alignment vertical="center"/>
      <protection locked="0"/>
    </xf>
    <xf numFmtId="0" fontId="74" fillId="5" borderId="51" xfId="0" applyNumberFormat="1" applyFont="1" applyFill="1" applyBorder="1" applyProtection="1">
      <alignment vertical="center"/>
      <protection locked="0"/>
    </xf>
    <xf numFmtId="0" fontId="0" fillId="5" borderId="152" xfId="0" applyNumberFormat="1" applyFill="1" applyBorder="1" applyProtection="1">
      <alignment vertical="center"/>
      <protection locked="0"/>
    </xf>
    <xf numFmtId="0" fontId="74" fillId="5" borderId="68" xfId="0" applyNumberFormat="1" applyFont="1" applyFill="1" applyBorder="1" applyProtection="1">
      <alignment vertical="center"/>
      <protection locked="0"/>
    </xf>
    <xf numFmtId="0" fontId="0" fillId="5" borderId="28" xfId="0" applyNumberFormat="1" applyFill="1" applyBorder="1" applyProtection="1">
      <alignment vertical="center"/>
      <protection locked="0"/>
    </xf>
    <xf numFmtId="0" fontId="74" fillId="5" borderId="73" xfId="0" applyNumberFormat="1" applyFont="1" applyFill="1" applyBorder="1" applyProtection="1">
      <alignment vertical="center"/>
      <protection locked="0"/>
    </xf>
    <xf numFmtId="0" fontId="74" fillId="5" borderId="149" xfId="0" applyNumberFormat="1" applyFont="1" applyFill="1" applyBorder="1" applyProtection="1">
      <alignment vertical="center"/>
      <protection locked="0"/>
    </xf>
    <xf numFmtId="0" fontId="57" fillId="5" borderId="73" xfId="0" applyNumberFormat="1" applyFont="1" applyFill="1" applyBorder="1" applyProtection="1">
      <alignment vertical="center"/>
      <protection locked="0"/>
    </xf>
    <xf numFmtId="0" fontId="0" fillId="5" borderId="0" xfId="0" applyNumberFormat="1" applyFill="1" applyProtection="1">
      <alignment vertical="center"/>
      <protection locked="0"/>
    </xf>
    <xf numFmtId="0" fontId="0" fillId="3" borderId="73" xfId="0" applyNumberFormat="1" applyFill="1" applyBorder="1" applyProtection="1">
      <alignment vertical="center"/>
      <protection locked="0"/>
    </xf>
    <xf numFmtId="0" fontId="0" fillId="5" borderId="73" xfId="0" applyNumberFormat="1" applyFill="1" applyBorder="1" applyProtection="1">
      <alignment vertical="center"/>
      <protection locked="0"/>
    </xf>
    <xf numFmtId="0" fontId="0" fillId="5" borderId="140" xfId="0" applyNumberFormat="1" applyFill="1" applyBorder="1" applyProtection="1">
      <alignment vertical="center"/>
      <protection locked="0"/>
    </xf>
    <xf numFmtId="14" fontId="0" fillId="3" borderId="73" xfId="0" applyNumberFormat="1" applyFill="1" applyBorder="1" applyProtection="1">
      <alignment vertical="center"/>
      <protection locked="0"/>
    </xf>
    <xf numFmtId="14" fontId="0" fillId="3" borderId="149" xfId="0" applyNumberFormat="1" applyFill="1" applyBorder="1" applyProtection="1">
      <alignment vertical="center"/>
      <protection locked="0"/>
    </xf>
    <xf numFmtId="177" fontId="0" fillId="3" borderId="58" xfId="0" applyNumberFormat="1" applyFill="1" applyBorder="1" applyProtection="1">
      <alignment vertical="center"/>
      <protection locked="0"/>
    </xf>
    <xf numFmtId="0" fontId="0" fillId="3" borderId="143" xfId="0" applyNumberFormat="1" applyFill="1" applyBorder="1" applyProtection="1">
      <alignment vertical="center"/>
      <protection locked="0"/>
    </xf>
    <xf numFmtId="0" fontId="0" fillId="3" borderId="146" xfId="0" applyNumberFormat="1" applyFill="1" applyBorder="1" applyProtection="1">
      <alignment vertical="center"/>
      <protection locked="0"/>
    </xf>
    <xf numFmtId="0" fontId="0" fillId="3" borderId="147" xfId="0" applyNumberFormat="1" applyFill="1" applyBorder="1" applyProtection="1">
      <alignment vertical="center"/>
      <protection locked="0"/>
    </xf>
    <xf numFmtId="0" fontId="74" fillId="3" borderId="73" xfId="0" applyNumberFormat="1" applyFont="1" applyFill="1" applyBorder="1" applyProtection="1">
      <alignment vertical="center"/>
      <protection locked="0"/>
    </xf>
    <xf numFmtId="177" fontId="0" fillId="3" borderId="73" xfId="0" applyNumberFormat="1" applyFill="1" applyBorder="1" applyProtection="1">
      <alignment vertical="center"/>
      <protection locked="0"/>
    </xf>
    <xf numFmtId="0" fontId="0" fillId="13" borderId="143" xfId="0" applyNumberFormat="1" applyFill="1" applyBorder="1" applyProtection="1">
      <alignment vertical="center"/>
      <protection locked="0"/>
    </xf>
    <xf numFmtId="0" fontId="74" fillId="3" borderId="33" xfId="0" applyNumberFormat="1" applyFont="1" applyFill="1" applyBorder="1" applyProtection="1">
      <alignment vertical="center"/>
      <protection locked="0"/>
    </xf>
    <xf numFmtId="0" fontId="74" fillId="3" borderId="34" xfId="0" applyNumberFormat="1" applyFont="1" applyFill="1" applyBorder="1" applyProtection="1">
      <alignment vertical="center"/>
      <protection locked="0"/>
    </xf>
    <xf numFmtId="0" fontId="74" fillId="3" borderId="152" xfId="0" applyNumberFormat="1" applyFont="1" applyFill="1" applyBorder="1" applyProtection="1">
      <alignment vertical="center"/>
      <protection locked="0"/>
    </xf>
    <xf numFmtId="0" fontId="0" fillId="0" borderId="74" xfId="0" applyNumberFormat="1" applyBorder="1" applyProtection="1">
      <alignment vertical="center"/>
      <protection locked="0"/>
    </xf>
    <xf numFmtId="0" fontId="0" fillId="0" borderId="75" xfId="0" applyNumberFormat="1" applyBorder="1" applyProtection="1">
      <alignment vertical="center"/>
      <protection locked="0"/>
    </xf>
    <xf numFmtId="0" fontId="3" fillId="12" borderId="64" xfId="0" applyNumberFormat="1" applyFont="1" applyFill="1" applyBorder="1" applyAlignment="1" applyProtection="1">
      <alignment horizontal="center" vertical="center"/>
    </xf>
    <xf numFmtId="0" fontId="111" fillId="12" borderId="34" xfId="0" applyNumberFormat="1" applyFont="1" applyFill="1" applyBorder="1" applyAlignment="1" applyProtection="1">
      <alignment horizontal="center" vertical="center"/>
    </xf>
    <xf numFmtId="0" fontId="102" fillId="27" borderId="34" xfId="0" applyNumberFormat="1" applyFont="1" applyFill="1" applyBorder="1" applyAlignment="1" applyProtection="1">
      <alignment horizontal="center" vertical="center"/>
    </xf>
    <xf numFmtId="0" fontId="119" fillId="36" borderId="34" xfId="0" applyNumberFormat="1" applyFont="1" applyFill="1" applyBorder="1" applyProtection="1">
      <alignment vertical="center"/>
    </xf>
    <xf numFmtId="0" fontId="69" fillId="37" borderId="34" xfId="0" applyNumberFormat="1" applyFont="1" applyFill="1" applyBorder="1" applyAlignment="1" applyProtection="1">
      <alignment horizontal="center" vertical="center"/>
    </xf>
    <xf numFmtId="0" fontId="3" fillId="37" borderId="34" xfId="0" applyNumberFormat="1" applyFont="1" applyFill="1" applyBorder="1" applyAlignment="1" applyProtection="1">
      <alignment horizontal="center" vertical="center"/>
    </xf>
    <xf numFmtId="0" fontId="69" fillId="27" borderId="34" xfId="0" applyNumberFormat="1" applyFont="1" applyFill="1" applyBorder="1" applyAlignment="1" applyProtection="1">
      <alignment horizontal="center" vertical="center"/>
    </xf>
    <xf numFmtId="0" fontId="69" fillId="27" borderId="142" xfId="0" applyNumberFormat="1" applyFont="1" applyFill="1" applyBorder="1" applyAlignment="1" applyProtection="1">
      <alignment horizontal="center" vertical="center"/>
    </xf>
    <xf numFmtId="0" fontId="0" fillId="5" borderId="8" xfId="0" applyNumberFormat="1" applyFill="1" applyBorder="1" applyProtection="1">
      <alignment vertical="center"/>
      <protection locked="0"/>
    </xf>
    <xf numFmtId="0" fontId="0" fillId="15" borderId="7" xfId="0" applyNumberFormat="1" applyFill="1" applyBorder="1" applyProtection="1">
      <alignment vertical="center"/>
      <protection locked="0"/>
    </xf>
    <xf numFmtId="0" fontId="0" fillId="15" borderId="0" xfId="0" applyNumberFormat="1" applyFill="1" applyProtection="1">
      <alignment vertical="center"/>
      <protection locked="0"/>
    </xf>
    <xf numFmtId="0" fontId="0" fillId="15" borderId="51" xfId="0" applyNumberFormat="1" applyFill="1" applyBorder="1" applyProtection="1">
      <alignment vertical="center"/>
      <protection locked="0"/>
    </xf>
    <xf numFmtId="0" fontId="0" fillId="15" borderId="8" xfId="0" applyNumberFormat="1" applyFill="1" applyBorder="1" applyProtection="1">
      <alignment vertical="center"/>
      <protection locked="0"/>
    </xf>
    <xf numFmtId="0" fontId="0" fillId="5" borderId="7" xfId="0" applyNumberFormat="1" applyFill="1" applyBorder="1" applyProtection="1">
      <alignment vertical="center"/>
      <protection locked="0"/>
    </xf>
    <xf numFmtId="0" fontId="74" fillId="5" borderId="7" xfId="0" applyNumberFormat="1" applyFont="1" applyFill="1" applyBorder="1" applyProtection="1">
      <alignment vertical="center"/>
      <protection locked="0"/>
    </xf>
    <xf numFmtId="0" fontId="0" fillId="9" borderId="73" xfId="0" applyNumberFormat="1" applyFill="1" applyBorder="1" applyProtection="1">
      <alignment vertical="center"/>
      <protection locked="0"/>
    </xf>
    <xf numFmtId="0" fontId="0" fillId="9" borderId="149" xfId="0" applyNumberFormat="1" applyFill="1" applyBorder="1" applyProtection="1">
      <alignment vertical="center"/>
      <protection locked="0"/>
    </xf>
    <xf numFmtId="0" fontId="0" fillId="9" borderId="75" xfId="0" applyNumberFormat="1" applyFill="1" applyBorder="1" applyProtection="1">
      <alignment vertical="center"/>
      <protection locked="0"/>
    </xf>
    <xf numFmtId="0" fontId="74" fillId="3" borderId="149" xfId="0" applyNumberFormat="1" applyFont="1" applyFill="1" applyBorder="1" applyProtection="1">
      <alignment vertical="center"/>
      <protection locked="0"/>
    </xf>
    <xf numFmtId="0" fontId="74" fillId="8" borderId="163" xfId="0" applyNumberFormat="1" applyFont="1" applyFill="1" applyBorder="1" applyProtection="1">
      <alignment vertical="center"/>
      <protection locked="0"/>
    </xf>
    <xf numFmtId="0" fontId="74" fillId="3" borderId="5" xfId="0" applyNumberFormat="1" applyFont="1" applyFill="1" applyBorder="1" applyProtection="1">
      <alignment vertical="center"/>
      <protection locked="0"/>
    </xf>
    <xf numFmtId="0" fontId="0" fillId="3" borderId="152" xfId="0" applyNumberFormat="1" applyFill="1" applyBorder="1" applyProtection="1">
      <alignment vertical="center"/>
      <protection locked="0"/>
    </xf>
    <xf numFmtId="0" fontId="0" fillId="3" borderId="154" xfId="0" applyNumberFormat="1" applyFill="1" applyBorder="1" applyProtection="1">
      <alignment vertical="center"/>
      <protection locked="0"/>
    </xf>
    <xf numFmtId="0" fontId="0" fillId="3" borderId="151" xfId="0" applyNumberFormat="1" applyFill="1" applyBorder="1" applyProtection="1">
      <alignment vertical="center"/>
      <protection locked="0"/>
    </xf>
    <xf numFmtId="0" fontId="0" fillId="3" borderId="168" xfId="0" applyNumberFormat="1" applyFill="1" applyBorder="1" applyProtection="1">
      <alignment vertical="center"/>
      <protection locked="0"/>
    </xf>
    <xf numFmtId="0" fontId="0" fillId="3" borderId="34" xfId="0" applyNumberFormat="1" applyFill="1" applyBorder="1" applyProtection="1">
      <alignment vertical="center"/>
      <protection locked="0"/>
    </xf>
    <xf numFmtId="0" fontId="0" fillId="3" borderId="142" xfId="0" applyNumberFormat="1" applyFill="1" applyBorder="1" applyProtection="1">
      <alignment vertical="center"/>
      <protection locked="0"/>
    </xf>
    <xf numFmtId="0" fontId="0" fillId="3" borderId="12" xfId="0" applyNumberFormat="1" applyFill="1" applyBorder="1" applyProtection="1">
      <alignment vertical="center"/>
      <protection locked="0"/>
    </xf>
    <xf numFmtId="0" fontId="0" fillId="3" borderId="26" xfId="0" applyNumberFormat="1" applyFill="1" applyBorder="1" applyProtection="1">
      <alignment vertical="center"/>
      <protection locked="0"/>
    </xf>
    <xf numFmtId="0" fontId="0" fillId="3" borderId="167" xfId="0" applyNumberFormat="1" applyFill="1" applyBorder="1" applyProtection="1">
      <alignment vertical="center"/>
      <protection locked="0"/>
    </xf>
    <xf numFmtId="0" fontId="0" fillId="3" borderId="6" xfId="0" applyNumberFormat="1" applyFill="1" applyBorder="1" applyProtection="1">
      <alignment vertical="center"/>
      <protection locked="0"/>
    </xf>
    <xf numFmtId="0" fontId="0" fillId="5" borderId="131" xfId="0" applyNumberFormat="1" applyFill="1" applyBorder="1" applyProtection="1">
      <alignment vertical="center"/>
      <protection locked="0"/>
    </xf>
    <xf numFmtId="0" fontId="0" fillId="3" borderId="192" xfId="0" applyNumberFormat="1" applyFill="1" applyBorder="1" applyProtection="1">
      <alignment vertical="center"/>
      <protection locked="0"/>
    </xf>
    <xf numFmtId="0" fontId="0" fillId="5" borderId="193" xfId="0" applyNumberFormat="1" applyFill="1" applyBorder="1" applyProtection="1">
      <alignment vertical="center"/>
      <protection locked="0"/>
    </xf>
    <xf numFmtId="0" fontId="0" fillId="3" borderId="24" xfId="0" applyNumberFormat="1" applyFill="1" applyBorder="1" applyProtection="1">
      <alignment vertical="center"/>
      <protection locked="0"/>
    </xf>
    <xf numFmtId="0" fontId="0" fillId="3" borderId="5" xfId="0" applyNumberFormat="1" applyFill="1" applyBorder="1" applyProtection="1">
      <alignment vertical="center"/>
      <protection locked="0"/>
    </xf>
    <xf numFmtId="0" fontId="0" fillId="3" borderId="111" xfId="0" applyNumberFormat="1" applyFill="1" applyBorder="1" applyProtection="1">
      <alignment vertical="center"/>
      <protection locked="0"/>
    </xf>
    <xf numFmtId="0" fontId="0" fillId="3" borderId="78" xfId="0" applyNumberFormat="1" applyFill="1" applyBorder="1" applyProtection="1">
      <alignment vertical="center"/>
      <protection locked="0"/>
    </xf>
    <xf numFmtId="0" fontId="0" fillId="3" borderId="14" xfId="0" applyNumberFormat="1" applyFill="1" applyBorder="1" applyProtection="1">
      <alignment vertical="center"/>
      <protection locked="0"/>
    </xf>
    <xf numFmtId="0" fontId="0" fillId="0" borderId="10" xfId="0" applyNumberFormat="1" applyBorder="1" applyProtection="1">
      <alignment vertical="center"/>
      <protection locked="0"/>
    </xf>
    <xf numFmtId="0" fontId="0" fillId="3" borderId="8" xfId="0" applyNumberFormat="1" applyFill="1" applyBorder="1" applyProtection="1">
      <alignment vertical="center"/>
      <protection locked="0"/>
    </xf>
    <xf numFmtId="0" fontId="0" fillId="3" borderId="176" xfId="0" applyNumberFormat="1" applyFill="1" applyBorder="1" applyProtection="1">
      <alignment vertical="center"/>
      <protection locked="0"/>
    </xf>
    <xf numFmtId="0" fontId="0" fillId="3" borderId="109" xfId="0" applyNumberFormat="1" applyFill="1" applyBorder="1" applyProtection="1">
      <alignment vertical="center"/>
      <protection locked="0"/>
    </xf>
    <xf numFmtId="0" fontId="0" fillId="3" borderId="21" xfId="0" applyNumberFormat="1" applyFill="1" applyBorder="1" applyProtection="1">
      <alignment vertical="center"/>
      <protection locked="0"/>
    </xf>
    <xf numFmtId="0" fontId="74" fillId="3" borderId="21" xfId="0" applyNumberFormat="1" applyFont="1" applyFill="1" applyBorder="1" applyProtection="1">
      <alignment vertical="center"/>
      <protection locked="0"/>
    </xf>
    <xf numFmtId="0" fontId="0" fillId="3" borderId="32" xfId="0" applyNumberFormat="1" applyFill="1" applyBorder="1" applyProtection="1">
      <alignment vertical="center"/>
      <protection locked="0"/>
    </xf>
    <xf numFmtId="0" fontId="0" fillId="0" borderId="5" xfId="0" applyNumberFormat="1" applyBorder="1" applyProtection="1">
      <alignment vertical="center"/>
      <protection locked="0"/>
    </xf>
    <xf numFmtId="0" fontId="74" fillId="5" borderId="148" xfId="0" applyNumberFormat="1" applyFont="1" applyFill="1" applyBorder="1" applyProtection="1">
      <alignment vertical="center"/>
      <protection locked="0"/>
    </xf>
    <xf numFmtId="0" fontId="74" fillId="5" borderId="29" xfId="0" applyNumberFormat="1" applyFont="1" applyFill="1" applyBorder="1" applyProtection="1">
      <alignment vertical="center"/>
      <protection locked="0"/>
    </xf>
    <xf numFmtId="0" fontId="74" fillId="5" borderId="28" xfId="0" applyNumberFormat="1" applyFont="1" applyFill="1" applyBorder="1" applyProtection="1">
      <alignment vertical="center"/>
      <protection locked="0"/>
    </xf>
    <xf numFmtId="0" fontId="22" fillId="5" borderId="5" xfId="0" applyNumberFormat="1" applyFont="1" applyFill="1" applyBorder="1" applyProtection="1">
      <alignment vertical="center"/>
      <protection locked="0"/>
    </xf>
    <xf numFmtId="0" fontId="22" fillId="38" borderId="0" xfId="0" applyNumberFormat="1" applyFont="1" applyFill="1" applyProtection="1">
      <alignment vertical="center"/>
      <protection locked="0"/>
    </xf>
    <xf numFmtId="0" fontId="22" fillId="5" borderId="0" xfId="0" applyNumberFormat="1" applyFont="1" applyFill="1" applyProtection="1">
      <alignment vertical="center"/>
      <protection locked="0"/>
    </xf>
    <xf numFmtId="0" fontId="22" fillId="38" borderId="5" xfId="0" applyNumberFormat="1" applyFont="1" applyFill="1" applyBorder="1" applyProtection="1">
      <alignment vertical="center"/>
      <protection locked="0"/>
    </xf>
    <xf numFmtId="0" fontId="74" fillId="0" borderId="2" xfId="0" applyNumberFormat="1" applyFont="1" applyBorder="1" applyAlignment="1" applyProtection="1">
      <alignment horizontal="center" vertical="center" wrapText="1"/>
    </xf>
    <xf numFmtId="0" fontId="0" fillId="0" borderId="3" xfId="0" applyNumberFormat="1" applyBorder="1" applyAlignment="1" applyProtection="1">
      <alignment horizontal="center" vertical="center" wrapText="1"/>
    </xf>
    <xf numFmtId="0" fontId="74" fillId="0" borderId="3" xfId="0" applyNumberFormat="1" applyFont="1" applyBorder="1" applyAlignment="1" applyProtection="1">
      <alignment horizontal="center" vertical="center" wrapText="1"/>
    </xf>
    <xf numFmtId="0" fontId="0" fillId="0" borderId="12" xfId="0" applyNumberFormat="1" applyBorder="1" applyAlignment="1" applyProtection="1">
      <alignment vertical="center" wrapText="1"/>
    </xf>
    <xf numFmtId="0" fontId="74" fillId="0" borderId="4" xfId="0" applyNumberFormat="1" applyFont="1" applyBorder="1" applyAlignment="1" applyProtection="1">
      <alignment horizontal="center" vertical="center" wrapText="1"/>
    </xf>
    <xf numFmtId="0" fontId="0" fillId="0" borderId="5" xfId="0" applyNumberFormat="1" applyBorder="1" applyAlignment="1" applyProtection="1">
      <alignment horizontal="center" vertical="center" wrapText="1"/>
    </xf>
    <xf numFmtId="0" fontId="74" fillId="0" borderId="5" xfId="0" applyNumberFormat="1" applyFont="1" applyBorder="1" applyAlignment="1" applyProtection="1">
      <alignment horizontal="center" vertical="center" wrapText="1"/>
    </xf>
    <xf numFmtId="0" fontId="0" fillId="0" borderId="14" xfId="0" applyNumberFormat="1" applyBorder="1" applyAlignment="1" applyProtection="1">
      <alignment horizontal="left" vertical="center" wrapText="1"/>
    </xf>
    <xf numFmtId="0" fontId="74" fillId="0" borderId="9" xfId="0" applyNumberFormat="1" applyFont="1" applyBorder="1" applyAlignment="1" applyProtection="1">
      <alignment horizontal="center" vertical="center" wrapText="1"/>
    </xf>
    <xf numFmtId="0" fontId="0" fillId="0" borderId="10" xfId="0" applyNumberFormat="1" applyBorder="1" applyAlignment="1" applyProtection="1">
      <alignment horizontal="center" vertical="center" wrapText="1"/>
    </xf>
    <xf numFmtId="0" fontId="74" fillId="0" borderId="10" xfId="0" applyNumberFormat="1" applyFont="1" applyBorder="1" applyAlignment="1" applyProtection="1">
      <alignment horizontal="center" vertical="center" wrapText="1"/>
    </xf>
    <xf numFmtId="0" fontId="0" fillId="0" borderId="26" xfId="0" applyNumberFormat="1" applyBorder="1" applyAlignment="1" applyProtection="1">
      <alignment horizontal="left" vertical="center" wrapText="1"/>
    </xf>
    <xf numFmtId="0" fontId="10" fillId="0" borderId="27" xfId="0" applyNumberFormat="1" applyFont="1" applyBorder="1" applyAlignment="1" applyProtection="1">
      <alignment horizontal="center" vertical="center" wrapText="1"/>
    </xf>
    <xf numFmtId="0" fontId="10" fillId="0" borderId="18" xfId="0" applyNumberFormat="1" applyFont="1" applyBorder="1" applyAlignment="1" applyProtection="1">
      <alignment horizontal="center" vertical="center"/>
    </xf>
    <xf numFmtId="0" fontId="3" fillId="0" borderId="52" xfId="0" applyNumberFormat="1" applyFont="1" applyBorder="1" applyAlignment="1" applyProtection="1">
      <alignment horizontal="center" vertical="center"/>
    </xf>
    <xf numFmtId="0" fontId="0" fillId="0" borderId="52" xfId="0" applyNumberFormat="1" applyBorder="1" applyAlignment="1" applyProtection="1">
      <alignment horizontal="center" vertical="center"/>
    </xf>
    <xf numFmtId="0" fontId="0" fillId="0" borderId="51" xfId="0" applyNumberFormat="1" applyBorder="1" applyAlignment="1" applyProtection="1">
      <alignment horizontal="left" vertical="center"/>
    </xf>
    <xf numFmtId="0" fontId="3" fillId="0" borderId="64" xfId="0" applyNumberFormat="1" applyFont="1" applyBorder="1" applyAlignment="1" applyProtection="1">
      <alignment horizontal="center" vertical="center"/>
    </xf>
    <xf numFmtId="0" fontId="3" fillId="0" borderId="64" xfId="0" applyNumberFormat="1" applyFont="1" applyBorder="1" applyProtection="1">
      <alignment vertical="center"/>
    </xf>
    <xf numFmtId="0" fontId="74" fillId="0" borderId="65" xfId="0" applyNumberFormat="1" applyFont="1" applyBorder="1" applyProtection="1">
      <alignment vertical="center"/>
    </xf>
    <xf numFmtId="0" fontId="74" fillId="0" borderId="100" xfId="0" applyNumberFormat="1" applyFont="1" applyBorder="1" applyProtection="1">
      <alignment vertical="center"/>
    </xf>
    <xf numFmtId="0" fontId="0" fillId="0" borderId="51" xfId="0" applyNumberFormat="1" applyBorder="1" applyProtection="1">
      <alignment vertical="center"/>
    </xf>
    <xf numFmtId="0" fontId="0" fillId="0" borderId="112" xfId="0" applyNumberFormat="1" applyBorder="1" applyProtection="1">
      <alignment vertical="center"/>
    </xf>
    <xf numFmtId="0" fontId="0" fillId="0" borderId="33" xfId="0" applyNumberFormat="1" applyBorder="1" applyProtection="1">
      <alignment vertical="center"/>
    </xf>
    <xf numFmtId="0" fontId="0" fillId="0" borderId="25" xfId="0" applyNumberFormat="1" applyBorder="1" applyProtection="1">
      <alignment vertical="center"/>
    </xf>
    <xf numFmtId="0" fontId="0" fillId="0" borderId="71" xfId="0" applyNumberFormat="1" applyBorder="1" applyProtection="1">
      <alignment vertical="center"/>
    </xf>
    <xf numFmtId="0" fontId="0" fillId="0" borderId="7" xfId="0" applyNumberFormat="1" applyBorder="1" applyProtection="1">
      <alignment vertical="center"/>
    </xf>
    <xf numFmtId="0" fontId="0" fillId="0" borderId="102" xfId="0" applyNumberFormat="1" applyBorder="1" applyProtection="1">
      <alignment vertical="center"/>
    </xf>
    <xf numFmtId="0" fontId="0" fillId="0" borderId="34" xfId="0" applyNumberFormat="1" applyBorder="1" applyProtection="1">
      <alignment vertical="center"/>
    </xf>
    <xf numFmtId="0" fontId="0" fillId="0" borderId="4" xfId="0" applyNumberFormat="1" applyBorder="1" applyProtection="1">
      <alignment vertical="center"/>
    </xf>
    <xf numFmtId="0" fontId="0" fillId="0" borderId="6" xfId="0" applyNumberFormat="1" applyBorder="1" applyProtection="1">
      <alignment vertical="center"/>
    </xf>
    <xf numFmtId="0" fontId="118" fillId="0" borderId="0" xfId="0" applyNumberFormat="1" applyFont="1" applyProtection="1">
      <alignment vertical="center"/>
    </xf>
    <xf numFmtId="0" fontId="0" fillId="0" borderId="8" xfId="0" applyNumberFormat="1" applyBorder="1" applyProtection="1">
      <alignment vertical="center"/>
    </xf>
    <xf numFmtId="0" fontId="0" fillId="0" borderId="149" xfId="0" applyNumberFormat="1" applyBorder="1" applyProtection="1">
      <alignment vertical="center"/>
    </xf>
    <xf numFmtId="0" fontId="0" fillId="0" borderId="52" xfId="0" applyNumberFormat="1" applyBorder="1" applyProtection="1">
      <alignment vertical="center"/>
    </xf>
    <xf numFmtId="0" fontId="0" fillId="0" borderId="142" xfId="0" applyNumberFormat="1" applyBorder="1" applyProtection="1">
      <alignment vertical="center"/>
    </xf>
    <xf numFmtId="0" fontId="0" fillId="0" borderId="9" xfId="0" applyNumberFormat="1" applyBorder="1" applyProtection="1">
      <alignment vertical="center"/>
    </xf>
    <xf numFmtId="0" fontId="0" fillId="0" borderId="15" xfId="0" applyNumberFormat="1" applyBorder="1" applyProtection="1">
      <alignment vertical="center"/>
    </xf>
    <xf numFmtId="0" fontId="0" fillId="0" borderId="42" xfId="0" applyNumberFormat="1" applyBorder="1" applyProtection="1">
      <alignment vertical="center"/>
    </xf>
    <xf numFmtId="0" fontId="0" fillId="0" borderId="23" xfId="0" applyNumberFormat="1" applyBorder="1" applyProtection="1">
      <alignment vertical="center"/>
    </xf>
    <xf numFmtId="0" fontId="0" fillId="0" borderId="173" xfId="0" applyNumberFormat="1" applyBorder="1" applyAlignment="1" applyProtection="1">
      <alignment horizontal="center" vertical="center"/>
    </xf>
    <xf numFmtId="0" fontId="0" fillId="0" borderId="13" xfId="0" applyNumberFormat="1" applyBorder="1" applyProtection="1">
      <alignment vertical="center"/>
    </xf>
    <xf numFmtId="0" fontId="0" fillId="0" borderId="3" xfId="0" applyNumberFormat="1" applyBorder="1" applyProtection="1">
      <alignment vertical="center"/>
    </xf>
    <xf numFmtId="0" fontId="0" fillId="0" borderId="11" xfId="0" applyNumberFormat="1" applyBorder="1" applyProtection="1">
      <alignment vertical="center"/>
    </xf>
    <xf numFmtId="0" fontId="0" fillId="0" borderId="2" xfId="0" applyNumberFormat="1" applyBorder="1" applyProtection="1">
      <alignment vertical="center"/>
    </xf>
    <xf numFmtId="0" fontId="74" fillId="0" borderId="7" xfId="0" applyNumberFormat="1" applyFont="1" applyBorder="1" applyAlignment="1" applyProtection="1">
      <alignment horizontal="center" vertical="center"/>
    </xf>
    <xf numFmtId="0" fontId="0" fillId="0" borderId="34" xfId="0" applyNumberFormat="1" applyBorder="1" applyAlignment="1" applyProtection="1">
      <alignment horizontal="center" vertical="center"/>
    </xf>
    <xf numFmtId="0" fontId="74" fillId="0" borderId="72" xfId="0" applyNumberFormat="1" applyFont="1" applyBorder="1" applyProtection="1">
      <alignment vertical="center"/>
    </xf>
    <xf numFmtId="0" fontId="74" fillId="0" borderId="142" xfId="0" applyNumberFormat="1" applyFont="1" applyBorder="1" applyAlignment="1" applyProtection="1">
      <alignment horizontal="center" vertical="center"/>
    </xf>
    <xf numFmtId="0" fontId="0" fillId="0" borderId="16" xfId="0" applyNumberFormat="1" applyBorder="1" applyProtection="1">
      <alignment vertical="center"/>
    </xf>
    <xf numFmtId="0" fontId="74" fillId="0" borderId="10" xfId="0" applyNumberFormat="1" applyFont="1" applyBorder="1" applyProtection="1">
      <alignment vertical="center"/>
    </xf>
    <xf numFmtId="0" fontId="74" fillId="0" borderId="15" xfId="0" applyNumberFormat="1" applyFont="1" applyBorder="1" applyProtection="1">
      <alignment vertical="center"/>
    </xf>
    <xf numFmtId="0" fontId="74" fillId="0" borderId="16" xfId="0" applyNumberFormat="1" applyFont="1" applyBorder="1" applyProtection="1">
      <alignment vertical="center"/>
    </xf>
    <xf numFmtId="0" fontId="3" fillId="0" borderId="69" xfId="0" applyNumberFormat="1" applyFont="1" applyBorder="1" applyAlignment="1" applyProtection="1">
      <alignment vertical="center" wrapText="1"/>
      <protection locked="0" hidden="1"/>
    </xf>
    <xf numFmtId="0" fontId="3" fillId="0" borderId="1" xfId="0" applyNumberFormat="1" applyFont="1" applyBorder="1" applyAlignment="1" applyProtection="1">
      <alignment vertical="center" wrapText="1"/>
      <protection locked="0" hidden="1"/>
    </xf>
    <xf numFmtId="0" fontId="3" fillId="0" borderId="100" xfId="0" applyNumberFormat="1" applyFont="1" applyBorder="1" applyAlignment="1" applyProtection="1">
      <alignment vertical="center" wrapText="1"/>
      <protection locked="0" hidden="1"/>
    </xf>
    <xf numFmtId="0" fontId="3" fillId="0" borderId="2" xfId="0" applyNumberFormat="1" applyFont="1" applyBorder="1" applyProtection="1">
      <alignment vertical="center"/>
      <protection locked="0" hidden="1"/>
    </xf>
    <xf numFmtId="0" fontId="6" fillId="0" borderId="3" xfId="0" applyNumberFormat="1" applyFont="1" applyBorder="1" applyProtection="1">
      <alignment vertical="center"/>
      <protection locked="0" hidden="1"/>
    </xf>
    <xf numFmtId="0" fontId="6" fillId="0" borderId="11" xfId="0" applyNumberFormat="1" applyFont="1" applyBorder="1" applyProtection="1">
      <alignment vertical="center"/>
      <protection locked="0" hidden="1"/>
    </xf>
    <xf numFmtId="0" fontId="3" fillId="0" borderId="4" xfId="0" applyNumberFormat="1" applyFont="1" applyBorder="1" applyProtection="1">
      <alignment vertical="center"/>
      <protection locked="0" hidden="1"/>
    </xf>
    <xf numFmtId="0" fontId="6" fillId="0" borderId="5" xfId="0" applyNumberFormat="1" applyFont="1" applyBorder="1" applyProtection="1">
      <alignment vertical="center"/>
      <protection locked="0" hidden="1"/>
    </xf>
    <xf numFmtId="0" fontId="6" fillId="0" borderId="6" xfId="0" applyNumberFormat="1" applyFont="1" applyBorder="1" applyProtection="1">
      <alignment vertical="center"/>
      <protection locked="0" hidden="1"/>
    </xf>
    <xf numFmtId="0" fontId="0" fillId="0" borderId="4" xfId="0" applyNumberFormat="1" applyBorder="1" applyProtection="1">
      <alignment vertical="center"/>
      <protection locked="0" hidden="1"/>
    </xf>
    <xf numFmtId="0" fontId="6" fillId="0" borderId="4" xfId="0" applyNumberFormat="1" applyFont="1" applyBorder="1" applyProtection="1">
      <alignment vertical="center"/>
      <protection locked="0" hidden="1"/>
    </xf>
    <xf numFmtId="0" fontId="6" fillId="0" borderId="9" xfId="0" applyNumberFormat="1" applyFont="1" applyBorder="1" applyProtection="1">
      <alignment vertical="center"/>
      <protection locked="0" hidden="1"/>
    </xf>
    <xf numFmtId="0" fontId="6" fillId="0" borderId="10" xfId="0" applyNumberFormat="1" applyFont="1" applyBorder="1" applyProtection="1">
      <alignment vertical="center"/>
      <protection locked="0" hidden="1"/>
    </xf>
    <xf numFmtId="0" fontId="6" fillId="0" borderId="15" xfId="0" applyNumberFormat="1" applyFont="1" applyBorder="1" applyProtection="1">
      <alignment vertical="center"/>
      <protection locked="0" hidden="1"/>
    </xf>
    <xf numFmtId="0" fontId="3" fillId="0" borderId="70" xfId="0" applyNumberFormat="1" applyFont="1" applyBorder="1" applyAlignment="1" applyProtection="1">
      <alignment vertical="center" wrapText="1"/>
      <protection locked="0" hidden="1"/>
    </xf>
    <xf numFmtId="0" fontId="3" fillId="0" borderId="13" xfId="0" applyNumberFormat="1" applyFont="1" applyBorder="1" applyProtection="1">
      <alignment vertical="center"/>
      <protection locked="0" hidden="1"/>
    </xf>
    <xf numFmtId="0" fontId="6" fillId="0" borderId="43" xfId="0" applyNumberFormat="1" applyFont="1" applyBorder="1" applyProtection="1">
      <alignment vertical="center"/>
      <protection locked="0" hidden="1"/>
    </xf>
    <xf numFmtId="0" fontId="6" fillId="0" borderId="24" xfId="0" applyNumberFormat="1" applyFont="1" applyBorder="1" applyProtection="1">
      <alignment vertical="center"/>
      <protection locked="0" hidden="1"/>
    </xf>
    <xf numFmtId="0" fontId="6" fillId="0" borderId="114" xfId="0" applyNumberFormat="1" applyFont="1" applyBorder="1" applyProtection="1">
      <alignment vertical="center"/>
      <protection locked="0" hidden="1"/>
    </xf>
    <xf numFmtId="0" fontId="3" fillId="0" borderId="8" xfId="0" applyNumberFormat="1" applyFont="1" applyBorder="1" applyProtection="1">
      <alignment vertical="center"/>
      <protection locked="0" hidden="1"/>
    </xf>
    <xf numFmtId="0" fontId="6" fillId="0" borderId="8" xfId="0" applyNumberFormat="1" applyFont="1" applyBorder="1" applyProtection="1">
      <alignment vertical="center"/>
      <protection locked="0" hidden="1"/>
    </xf>
    <xf numFmtId="0" fontId="6" fillId="0" borderId="14" xfId="0" applyNumberFormat="1" applyFont="1" applyBorder="1" applyProtection="1">
      <alignment vertical="center"/>
      <protection locked="0" hidden="1"/>
    </xf>
    <xf numFmtId="0" fontId="0" fillId="0" borderId="8" xfId="0" applyNumberFormat="1" applyBorder="1" applyProtection="1">
      <alignment vertical="center"/>
      <protection locked="0" hidden="1"/>
    </xf>
    <xf numFmtId="0" fontId="6" fillId="0" borderId="16" xfId="0" applyNumberFormat="1" applyFont="1" applyBorder="1" applyProtection="1">
      <alignment vertical="center"/>
      <protection locked="0" hidden="1"/>
    </xf>
    <xf numFmtId="0" fontId="6" fillId="0" borderId="26" xfId="0" applyNumberFormat="1" applyFont="1" applyBorder="1" applyProtection="1">
      <alignment vertical="center"/>
      <protection locked="0" hidden="1"/>
    </xf>
    <xf numFmtId="0" fontId="3" fillId="0" borderId="76" xfId="0" applyNumberFormat="1" applyFont="1" applyBorder="1" applyProtection="1">
      <alignment vertical="center"/>
    </xf>
    <xf numFmtId="0" fontId="3" fillId="0" borderId="77" xfId="0" applyNumberFormat="1" applyFont="1" applyBorder="1" applyProtection="1">
      <alignment vertical="center"/>
    </xf>
    <xf numFmtId="0" fontId="74" fillId="11" borderId="5" xfId="0" applyNumberFormat="1" applyFont="1" applyFill="1" applyBorder="1" applyProtection="1">
      <alignment vertical="center"/>
    </xf>
    <xf numFmtId="0" fontId="0" fillId="11" borderId="5" xfId="0" applyNumberFormat="1" applyFill="1" applyBorder="1" applyProtection="1">
      <alignment vertical="center"/>
    </xf>
    <xf numFmtId="0" fontId="3" fillId="11" borderId="172" xfId="0" applyNumberFormat="1" applyFont="1" applyFill="1" applyBorder="1" applyAlignment="1" applyProtection="1">
      <alignment vertical="center" wrapText="1"/>
    </xf>
    <xf numFmtId="0" fontId="3" fillId="0" borderId="83" xfId="0" applyNumberFormat="1" applyFont="1" applyBorder="1" applyAlignment="1" applyProtection="1">
      <alignment vertical="center" wrapText="1"/>
    </xf>
    <xf numFmtId="0" fontId="74" fillId="12" borderId="0" xfId="0" applyNumberFormat="1" applyFont="1" applyFill="1" applyProtection="1">
      <alignment vertical="center"/>
    </xf>
    <xf numFmtId="0" fontId="3" fillId="12" borderId="141" xfId="0" applyNumberFormat="1" applyFont="1" applyFill="1" applyBorder="1" applyProtection="1">
      <alignment vertical="center"/>
    </xf>
    <xf numFmtId="0" fontId="3" fillId="3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0" fillId="8" borderId="5" xfId="0" applyNumberFormat="1" applyFill="1" applyBorder="1" applyAlignment="1" applyProtection="1"/>
    <xf numFmtId="0" fontId="0" fillId="9" borderId="8" xfId="0" applyNumberFormat="1" applyFill="1" applyBorder="1" applyAlignment="1" applyProtection="1">
      <alignment vertical="center" wrapText="1"/>
    </xf>
    <xf numFmtId="0" fontId="0" fillId="0" borderId="85" xfId="0" applyNumberFormat="1" applyBorder="1" applyAlignment="1" applyProtection="1">
      <alignment vertical="center" wrapText="1"/>
    </xf>
    <xf numFmtId="0" fontId="3" fillId="3" borderId="0" xfId="0" applyNumberFormat="1" applyFont="1" applyFill="1" applyProtection="1">
      <alignment vertical="center"/>
    </xf>
    <xf numFmtId="0" fontId="3" fillId="0" borderId="78" xfId="0" applyNumberFormat="1" applyFont="1" applyBorder="1" applyProtection="1">
      <alignment vertical="center"/>
    </xf>
    <xf numFmtId="0" fontId="3" fillId="0" borderId="79" xfId="0" applyNumberFormat="1" applyFont="1" applyBorder="1" applyProtection="1">
      <alignment vertical="center"/>
    </xf>
    <xf numFmtId="0" fontId="0" fillId="0" borderId="8" xfId="0" applyNumberFormat="1" applyBorder="1" applyAlignment="1" applyProtection="1">
      <alignment vertical="center" wrapText="1"/>
    </xf>
    <xf numFmtId="0" fontId="3" fillId="0" borderId="80" xfId="0" applyNumberFormat="1" applyFont="1" applyBorder="1" applyProtection="1">
      <alignment vertical="center"/>
    </xf>
    <xf numFmtId="0" fontId="3" fillId="0" borderId="81" xfId="0" applyNumberFormat="1" applyFont="1" applyBorder="1" applyProtection="1">
      <alignment vertical="center"/>
    </xf>
    <xf numFmtId="0" fontId="0" fillId="0" borderId="84" xfId="0" applyNumberFormat="1" applyBorder="1" applyAlignment="1" applyProtection="1">
      <alignment vertical="center" wrapText="1"/>
    </xf>
    <xf numFmtId="0" fontId="3" fillId="8" borderId="82" xfId="0" applyNumberFormat="1" applyFont="1" applyFill="1" applyBorder="1" applyAlignment="1" applyProtection="1">
      <alignment horizontal="right" vertical="center"/>
    </xf>
    <xf numFmtId="178" fontId="3" fillId="0" borderId="83" xfId="0" applyNumberFormat="1" applyFont="1" applyFill="1" applyBorder="1" applyProtection="1">
      <alignment vertical="center"/>
    </xf>
    <xf numFmtId="0" fontId="3" fillId="8" borderId="84" xfId="0" applyNumberFormat="1" applyFont="1" applyFill="1" applyBorder="1" applyAlignment="1" applyProtection="1">
      <alignment horizontal="right" vertical="center"/>
    </xf>
    <xf numFmtId="0" fontId="61" fillId="0" borderId="85" xfId="0" applyNumberFormat="1" applyFont="1" applyFill="1" applyBorder="1" applyProtection="1">
      <alignment vertical="center"/>
    </xf>
    <xf numFmtId="0" fontId="3" fillId="8" borderId="86" xfId="0" applyNumberFormat="1" applyFont="1" applyFill="1" applyBorder="1" applyAlignment="1" applyProtection="1">
      <alignment horizontal="right" vertical="center"/>
    </xf>
    <xf numFmtId="0" fontId="3" fillId="0" borderId="87" xfId="0" applyNumberFormat="1" applyFont="1" applyFill="1" applyBorder="1" applyAlignment="1" applyProtection="1">
      <alignment horizontal="left" vertical="center"/>
    </xf>
    <xf numFmtId="0" fontId="0" fillId="0" borderId="86" xfId="0" applyNumberFormat="1" applyBorder="1" applyAlignment="1" applyProtection="1">
      <alignment vertical="center" wrapText="1"/>
    </xf>
    <xf numFmtId="0" fontId="0" fillId="0" borderId="87" xfId="0" applyNumberFormat="1" applyBorder="1" applyAlignment="1" applyProtection="1">
      <alignment vertical="center" wrapText="1"/>
    </xf>
    <xf numFmtId="0" fontId="3" fillId="0" borderId="89" xfId="0" applyNumberFormat="1" applyFont="1" applyBorder="1" applyProtection="1">
      <alignment vertical="center"/>
    </xf>
    <xf numFmtId="0" fontId="3" fillId="9" borderId="90" xfId="0" applyNumberFormat="1" applyFont="1" applyFill="1" applyBorder="1" applyAlignment="1" applyProtection="1">
      <alignment horizontal="right" vertical="center"/>
    </xf>
    <xf numFmtId="178" fontId="12" fillId="9" borderId="91" xfId="0" applyNumberFormat="1" applyFont="1" applyFill="1" applyBorder="1" applyProtection="1">
      <alignment vertical="center"/>
    </xf>
    <xf numFmtId="0" fontId="3" fillId="13" borderId="8" xfId="0" applyNumberFormat="1" applyFont="1" applyFill="1" applyBorder="1" applyProtection="1">
      <alignment vertical="center"/>
    </xf>
    <xf numFmtId="0" fontId="3" fillId="13" borderId="5" xfId="0" applyNumberFormat="1" applyFont="1" applyFill="1" applyBorder="1" applyAlignment="1" applyProtection="1">
      <alignment horizontal="right" vertical="center"/>
    </xf>
    <xf numFmtId="0" fontId="3" fillId="13" borderId="6" xfId="0" applyNumberFormat="1" applyFont="1" applyFill="1" applyBorder="1" applyProtection="1">
      <alignment vertical="center"/>
    </xf>
    <xf numFmtId="0" fontId="3" fillId="13" borderId="0" xfId="0" applyNumberFormat="1" applyFont="1" applyFill="1" applyProtection="1">
      <alignment vertical="center"/>
    </xf>
    <xf numFmtId="0" fontId="14" fillId="0" borderId="5" xfId="0" applyNumberFormat="1" applyFont="1" applyBorder="1" applyProtection="1">
      <alignment vertical="center"/>
    </xf>
    <xf numFmtId="0" fontId="3" fillId="9" borderId="0" xfId="0" applyNumberFormat="1" applyFont="1" applyFill="1" applyAlignment="1" applyProtection="1">
      <alignment horizontal="right" vertical="center"/>
    </xf>
    <xf numFmtId="0" fontId="61" fillId="11" borderId="93" xfId="0" applyNumberFormat="1" applyFont="1" applyFill="1" applyBorder="1" applyProtection="1">
      <alignment vertical="center"/>
    </xf>
    <xf numFmtId="0" fontId="61" fillId="13" borderId="6" xfId="0" applyNumberFormat="1" applyFont="1" applyFill="1" applyBorder="1" applyProtection="1">
      <alignment vertical="center"/>
    </xf>
    <xf numFmtId="0" fontId="61" fillId="13" borderId="0" xfId="0" applyNumberFormat="1" applyFont="1" applyFill="1" applyProtection="1">
      <alignment vertical="center"/>
    </xf>
    <xf numFmtId="0" fontId="0" fillId="9" borderId="0" xfId="0" applyNumberFormat="1" applyFill="1" applyProtection="1">
      <alignment vertical="center"/>
    </xf>
    <xf numFmtId="0" fontId="3" fillId="9" borderId="95" xfId="0" applyNumberFormat="1" applyFont="1" applyFill="1" applyBorder="1" applyAlignment="1" applyProtection="1">
      <alignment horizontal="right" vertical="center"/>
    </xf>
    <xf numFmtId="0" fontId="3" fillId="11" borderId="96" xfId="0" applyNumberFormat="1" applyFont="1" applyFill="1" applyBorder="1" applyAlignment="1" applyProtection="1">
      <alignment horizontal="left" vertical="center"/>
    </xf>
    <xf numFmtId="0" fontId="3" fillId="13" borderId="6" xfId="0" applyNumberFormat="1" applyFont="1" applyFill="1" applyBorder="1" applyAlignment="1" applyProtection="1">
      <alignment horizontal="left" vertical="center"/>
    </xf>
    <xf numFmtId="0" fontId="3" fillId="13" borderId="0" xfId="0" applyNumberFormat="1" applyFont="1" applyFill="1" applyAlignment="1" applyProtection="1">
      <alignment horizontal="left" vertical="center"/>
    </xf>
    <xf numFmtId="0" fontId="0" fillId="10" borderId="50" xfId="0" applyNumberFormat="1" applyFill="1" applyBorder="1" applyProtection="1">
      <alignment vertical="center"/>
    </xf>
    <xf numFmtId="0" fontId="0" fillId="10" borderId="51" xfId="0" applyNumberFormat="1" applyFill="1" applyBorder="1" applyProtection="1">
      <alignment vertical="center"/>
    </xf>
    <xf numFmtId="0" fontId="74" fillId="10" borderId="51" xfId="0" applyNumberFormat="1" applyFont="1" applyFill="1" applyBorder="1" applyProtection="1">
      <alignment vertical="center"/>
    </xf>
    <xf numFmtId="0" fontId="74" fillId="10" borderId="58" xfId="0" applyNumberFormat="1" applyFont="1" applyFill="1" applyBorder="1" applyProtection="1">
      <alignment vertical="center"/>
    </xf>
    <xf numFmtId="0" fontId="74" fillId="9" borderId="13" xfId="0" applyNumberFormat="1" applyFont="1" applyFill="1" applyBorder="1" applyProtection="1">
      <alignment vertical="center"/>
    </xf>
    <xf numFmtId="0" fontId="74" fillId="9" borderId="3" xfId="0" applyNumberFormat="1" applyFont="1" applyFill="1" applyBorder="1" applyProtection="1">
      <alignment vertical="center"/>
    </xf>
    <xf numFmtId="0" fontId="74" fillId="9" borderId="5" xfId="0" applyNumberFormat="1" applyFont="1" applyFill="1" applyBorder="1" applyProtection="1">
      <alignment vertical="center"/>
    </xf>
    <xf numFmtId="0" fontId="74" fillId="9" borderId="10" xfId="0" applyNumberFormat="1" applyFont="1" applyFill="1" applyBorder="1" applyProtection="1">
      <alignment vertical="center"/>
    </xf>
    <xf numFmtId="0" fontId="3" fillId="3" borderId="78" xfId="0" applyNumberFormat="1" applyFont="1" applyFill="1" applyBorder="1" applyAlignment="1" applyProtection="1">
      <protection locked="0"/>
    </xf>
    <xf numFmtId="0" fontId="3" fillId="3" borderId="79" xfId="0" applyNumberFormat="1" applyFont="1" applyFill="1" applyBorder="1" applyAlignment="1" applyProtection="1">
      <protection locked="0"/>
    </xf>
    <xf numFmtId="0" fontId="3" fillId="3" borderId="78" xfId="0" applyNumberFormat="1" applyFont="1" applyFill="1" applyBorder="1" applyProtection="1">
      <alignment vertical="center"/>
      <protection locked="0"/>
    </xf>
    <xf numFmtId="0" fontId="3" fillId="3" borderId="79" xfId="0" applyNumberFormat="1" applyFont="1" applyFill="1" applyBorder="1" applyProtection="1">
      <alignment vertical="center"/>
      <protection locked="0"/>
    </xf>
    <xf numFmtId="0" fontId="0" fillId="9" borderId="8" xfId="0" applyNumberFormat="1" applyFill="1" applyBorder="1" applyProtection="1">
      <alignment vertical="center"/>
      <protection locked="0" hidden="1"/>
    </xf>
    <xf numFmtId="0" fontId="0" fillId="8" borderId="6" xfId="0" applyNumberFormat="1" applyFill="1" applyBorder="1" applyProtection="1">
      <alignment vertical="center"/>
      <protection locked="0" hidden="1"/>
    </xf>
    <xf numFmtId="0" fontId="0" fillId="9" borderId="31" xfId="0" applyNumberFormat="1" applyFill="1" applyBorder="1" applyProtection="1">
      <alignment vertical="center"/>
      <protection locked="0" hidden="1"/>
    </xf>
    <xf numFmtId="0" fontId="0" fillId="8" borderId="67" xfId="0" applyNumberFormat="1" applyFill="1" applyBorder="1" applyProtection="1">
      <alignment vertical="center"/>
      <protection locked="0" hidden="1"/>
    </xf>
    <xf numFmtId="0" fontId="0" fillId="0" borderId="6" xfId="0" applyNumberFormat="1" applyBorder="1" applyAlignment="1" applyProtection="1">
      <alignment horizontal="center" vertical="center"/>
    </xf>
    <xf numFmtId="0" fontId="0" fillId="0" borderId="6" xfId="0" applyNumberFormat="1" applyBorder="1" applyAlignment="1" applyProtection="1">
      <alignment horizontal="center" vertical="center" wrapText="1"/>
    </xf>
    <xf numFmtId="0" fontId="20" fillId="0" borderId="38" xfId="0" applyNumberFormat="1" applyFont="1" applyBorder="1" applyProtection="1">
      <alignment vertical="center"/>
    </xf>
    <xf numFmtId="0" fontId="20" fillId="0" borderId="39" xfId="0" applyNumberFormat="1" applyFont="1" applyBorder="1" applyAlignment="1" applyProtection="1">
      <alignment horizontal="center" vertical="center"/>
    </xf>
    <xf numFmtId="0" fontId="20" fillId="0" borderId="39" xfId="0" applyNumberFormat="1" applyFont="1" applyBorder="1" applyProtection="1">
      <alignment vertical="center"/>
    </xf>
    <xf numFmtId="0" fontId="20" fillId="0" borderId="0" xfId="0" applyNumberFormat="1" applyFont="1" applyBorder="1" applyProtection="1">
      <alignment vertical="center"/>
    </xf>
    <xf numFmtId="0" fontId="20" fillId="0" borderId="0" xfId="0" applyNumberFormat="1" applyFont="1" applyProtection="1">
      <alignment vertical="center"/>
    </xf>
    <xf numFmtId="0" fontId="20" fillId="0" borderId="40" xfId="0" applyNumberFormat="1" applyFont="1" applyBorder="1" applyProtection="1">
      <alignment vertical="center"/>
    </xf>
    <xf numFmtId="0" fontId="20" fillId="0" borderId="41" xfId="0" applyNumberFormat="1" applyFont="1" applyBorder="1" applyAlignment="1" applyProtection="1">
      <alignment horizontal="center" vertical="center"/>
    </xf>
    <xf numFmtId="0" fontId="20" fillId="0" borderId="41" xfId="0" applyNumberFormat="1" applyFont="1" applyBorder="1" applyProtection="1">
      <alignment vertical="center"/>
    </xf>
    <xf numFmtId="0" fontId="0" fillId="0" borderId="38" xfId="0" applyNumberFormat="1" applyBorder="1" applyProtection="1">
      <alignment vertical="center"/>
    </xf>
    <xf numFmtId="0" fontId="0" fillId="0" borderId="39" xfId="0" applyNumberFormat="1" applyBorder="1" applyProtection="1">
      <alignment vertical="center"/>
    </xf>
    <xf numFmtId="0" fontId="0" fillId="0" borderId="40" xfId="0" applyNumberFormat="1" applyBorder="1" applyProtection="1">
      <alignment vertical="center"/>
    </xf>
    <xf numFmtId="0" fontId="0" fillId="0" borderId="41" xfId="0" applyNumberFormat="1" applyBorder="1" applyProtection="1">
      <alignment vertical="center"/>
    </xf>
    <xf numFmtId="0" fontId="0" fillId="0" borderId="0" xfId="0" applyNumberFormat="1" applyProtection="1">
      <alignment vertical="center"/>
      <protection locked="0"/>
    </xf>
    <xf numFmtId="0" fontId="3" fillId="0" borderId="0" xfId="0" applyNumberFormat="1" applyFont="1" applyProtection="1">
      <alignment vertical="center"/>
      <protection locked="0"/>
    </xf>
    <xf numFmtId="0" fontId="12" fillId="0" borderId="0" xfId="0" applyNumberFormat="1" applyFont="1" applyAlignment="1" applyProtection="1">
      <alignment vertical="center" wrapText="1"/>
      <protection locked="0"/>
    </xf>
    <xf numFmtId="0" fontId="0" fillId="0" borderId="14" xfId="0" applyNumberFormat="1" applyBorder="1" applyProtection="1">
      <alignment vertical="center"/>
      <protection locked="0"/>
    </xf>
    <xf numFmtId="0" fontId="74" fillId="0" borderId="0" xfId="0" applyNumberFormat="1" applyFont="1" applyProtection="1">
      <alignment vertical="center"/>
      <protection locked="0"/>
    </xf>
    <xf numFmtId="0" fontId="0" fillId="0" borderId="3" xfId="0" applyNumberFormat="1" applyBorder="1" applyProtection="1">
      <alignment vertical="center"/>
      <protection locked="0"/>
    </xf>
    <xf numFmtId="0" fontId="0" fillId="0" borderId="12" xfId="0" applyNumberFormat="1" applyBorder="1" applyProtection="1">
      <alignment vertical="center"/>
      <protection locked="0"/>
    </xf>
    <xf numFmtId="0" fontId="0" fillId="0" borderId="26" xfId="0" applyNumberFormat="1" applyBorder="1" applyProtection="1">
      <alignment vertical="center"/>
      <protection locked="0"/>
    </xf>
    <xf numFmtId="0" fontId="0" fillId="0" borderId="0" xfId="0" applyNumberFormat="1" applyBorder="1" applyAlignment="1" applyProtection="1">
      <alignment horizontal="center" vertical="center" wrapText="1"/>
      <protection locked="0"/>
    </xf>
    <xf numFmtId="0" fontId="74" fillId="0" borderId="0" xfId="0" applyNumberFormat="1" applyFont="1" applyFill="1" applyBorder="1" applyProtection="1">
      <alignment vertical="center"/>
      <protection locked="0"/>
    </xf>
    <xf numFmtId="0" fontId="0" fillId="0" borderId="0" xfId="0" applyNumberFormat="1" applyBorder="1" applyProtection="1">
      <alignment vertical="center"/>
      <protection locked="0"/>
    </xf>
    <xf numFmtId="0" fontId="0" fillId="0" borderId="0" xfId="0" applyNumberFormat="1" applyFill="1" applyBorder="1" applyProtection="1">
      <alignment vertical="center"/>
      <protection locked="0"/>
    </xf>
    <xf numFmtId="0" fontId="3" fillId="10" borderId="0" xfId="0" applyNumberFormat="1" applyFont="1" applyFill="1" applyBorder="1" applyProtection="1">
      <alignment vertical="center"/>
      <protection locked="0"/>
    </xf>
    <xf numFmtId="0" fontId="0" fillId="10" borderId="0" xfId="0" applyNumberFormat="1" applyFill="1" applyBorder="1" applyProtection="1">
      <alignment vertical="center"/>
      <protection locked="0"/>
    </xf>
    <xf numFmtId="0" fontId="0" fillId="10" borderId="0" xfId="0" applyNumberFormat="1" applyFill="1" applyProtection="1">
      <alignment vertical="center"/>
      <protection locked="0"/>
    </xf>
    <xf numFmtId="0" fontId="74" fillId="10" borderId="0" xfId="0" applyNumberFormat="1" applyFont="1" applyFill="1" applyBorder="1" applyAlignment="1" applyProtection="1">
      <alignment vertical="center"/>
      <protection locked="0"/>
    </xf>
    <xf numFmtId="0" fontId="74" fillId="10" borderId="27" xfId="0" applyNumberFormat="1" applyFont="1" applyFill="1" applyBorder="1" applyAlignment="1" applyProtection="1">
      <alignment vertical="center"/>
      <protection locked="0"/>
    </xf>
    <xf numFmtId="0" fontId="0" fillId="10" borderId="5" xfId="0" applyNumberFormat="1" applyFill="1" applyBorder="1" applyProtection="1">
      <alignment vertical="center"/>
      <protection locked="0"/>
    </xf>
    <xf numFmtId="0" fontId="74" fillId="0" borderId="5" xfId="0" applyNumberFormat="1" applyFont="1" applyBorder="1" applyProtection="1">
      <alignment vertical="center"/>
      <protection locked="0"/>
    </xf>
    <xf numFmtId="0" fontId="0" fillId="0" borderId="5" xfId="0" applyNumberFormat="1" applyFont="1" applyBorder="1" applyProtection="1">
      <alignment vertical="center"/>
      <protection locked="0"/>
    </xf>
    <xf numFmtId="0" fontId="0" fillId="10" borderId="5" xfId="0" applyNumberFormat="1" applyFont="1" applyFill="1" applyBorder="1" applyProtection="1">
      <alignment vertical="center"/>
      <protection locked="0"/>
    </xf>
    <xf numFmtId="0" fontId="74" fillId="10" borderId="5" xfId="0" applyNumberFormat="1" applyFont="1" applyFill="1" applyBorder="1" applyProtection="1">
      <alignment vertical="center"/>
      <protection locked="0"/>
    </xf>
    <xf numFmtId="0" fontId="74" fillId="10" borderId="22" xfId="0" applyNumberFormat="1" applyFont="1" applyFill="1" applyBorder="1" applyProtection="1">
      <alignment vertical="center"/>
      <protection locked="0"/>
    </xf>
    <xf numFmtId="0" fontId="74" fillId="10" borderId="0" xfId="0" applyNumberFormat="1" applyFont="1" applyFill="1" applyBorder="1" applyProtection="1">
      <alignment vertical="center"/>
      <protection locked="0"/>
    </xf>
    <xf numFmtId="0" fontId="74" fillId="10" borderId="0" xfId="0" applyNumberFormat="1" applyFont="1" applyFill="1" applyProtection="1">
      <alignment vertical="center"/>
      <protection locked="0"/>
    </xf>
    <xf numFmtId="0" fontId="74" fillId="10" borderId="5" xfId="0" applyNumberFormat="1" applyFont="1" applyFill="1" applyBorder="1" applyAlignment="1" applyProtection="1">
      <alignment vertical="center"/>
      <protection locked="0"/>
    </xf>
    <xf numFmtId="0" fontId="74" fillId="0" borderId="5" xfId="0" applyNumberFormat="1" applyFont="1" applyFill="1" applyBorder="1" applyAlignment="1" applyProtection="1">
      <alignment vertical="center"/>
      <protection locked="0"/>
    </xf>
    <xf numFmtId="0" fontId="74" fillId="10" borderId="4" xfId="0" applyNumberFormat="1" applyFont="1" applyFill="1" applyBorder="1" applyProtection="1">
      <alignment vertical="center"/>
      <protection locked="0"/>
    </xf>
    <xf numFmtId="0" fontId="74" fillId="0" borderId="4" xfId="0" applyNumberFormat="1" applyFont="1" applyBorder="1" applyProtection="1">
      <alignment vertical="center"/>
      <protection locked="0"/>
    </xf>
    <xf numFmtId="0" fontId="74" fillId="10" borderId="4" xfId="0" applyNumberFormat="1" applyFont="1" applyFill="1" applyBorder="1" applyAlignment="1" applyProtection="1">
      <alignment vertical="center"/>
      <protection locked="0"/>
    </xf>
    <xf numFmtId="0" fontId="74" fillId="0" borderId="4" xfId="0" applyNumberFormat="1" applyFont="1" applyBorder="1" applyAlignment="1" applyProtection="1">
      <alignment vertical="center"/>
      <protection locked="0"/>
    </xf>
    <xf numFmtId="0" fontId="74" fillId="10" borderId="6" xfId="0" applyNumberFormat="1" applyFont="1" applyFill="1" applyBorder="1" applyAlignment="1" applyProtection="1">
      <alignment vertical="center"/>
      <protection locked="0"/>
    </xf>
    <xf numFmtId="0" fontId="74" fillId="0" borderId="0" xfId="0" applyNumberFormat="1" applyFont="1" applyBorder="1" applyAlignment="1" applyProtection="1">
      <alignment vertical="center"/>
      <protection locked="0"/>
    </xf>
    <xf numFmtId="0" fontId="0" fillId="3" borderId="0" xfId="0" applyNumberFormat="1" applyFill="1" applyBorder="1" applyProtection="1">
      <alignment vertical="center"/>
      <protection locked="0"/>
    </xf>
    <xf numFmtId="0" fontId="3" fillId="0" borderId="2" xfId="0" applyNumberFormat="1" applyFont="1" applyBorder="1" applyProtection="1">
      <alignment vertical="center"/>
      <protection locked="0"/>
    </xf>
    <xf numFmtId="0" fontId="0" fillId="3" borderId="3" xfId="0" applyNumberFormat="1" applyFill="1" applyBorder="1" applyProtection="1">
      <alignment vertical="center"/>
      <protection locked="0"/>
    </xf>
    <xf numFmtId="0" fontId="74" fillId="0" borderId="3" xfId="0" applyNumberFormat="1" applyFont="1" applyBorder="1" applyProtection="1">
      <alignment vertical="center"/>
      <protection locked="0"/>
    </xf>
    <xf numFmtId="0" fontId="74" fillId="0" borderId="12" xfId="0" applyNumberFormat="1" applyFont="1" applyBorder="1" applyProtection="1">
      <alignment vertical="center"/>
      <protection locked="0"/>
    </xf>
    <xf numFmtId="0" fontId="74" fillId="0" borderId="14" xfId="0" applyNumberFormat="1" applyFont="1" applyBorder="1" applyProtection="1">
      <alignment vertical="center"/>
      <protection locked="0"/>
    </xf>
    <xf numFmtId="0" fontId="0" fillId="3" borderId="5" xfId="0" applyNumberFormat="1" applyFill="1" applyBorder="1" applyAlignment="1" applyProtection="1">
      <alignment vertical="center"/>
      <protection locked="0"/>
    </xf>
    <xf numFmtId="0" fontId="0" fillId="0" borderId="14" xfId="0" applyNumberFormat="1" applyBorder="1" applyAlignment="1" applyProtection="1">
      <alignment horizontal="center" vertical="center"/>
      <protection locked="0"/>
    </xf>
    <xf numFmtId="0" fontId="0" fillId="0" borderId="0" xfId="0" applyNumberFormat="1" applyBorder="1" applyAlignment="1" applyProtection="1">
      <alignment vertical="center"/>
      <protection locked="0"/>
    </xf>
    <xf numFmtId="0" fontId="0" fillId="3" borderId="10" xfId="0" applyNumberFormat="1" applyFill="1" applyBorder="1" applyProtection="1">
      <alignment vertical="center"/>
      <protection locked="0"/>
    </xf>
    <xf numFmtId="0" fontId="74" fillId="0" borderId="4" xfId="0" applyNumberFormat="1" applyFont="1" applyFill="1" applyBorder="1" applyProtection="1">
      <alignment vertical="center"/>
      <protection locked="0"/>
    </xf>
    <xf numFmtId="0" fontId="74" fillId="0" borderId="5" xfId="0" applyNumberFormat="1" applyFont="1" applyBorder="1" applyAlignment="1" applyProtection="1">
      <alignment vertical="center"/>
      <protection locked="0"/>
    </xf>
    <xf numFmtId="0" fontId="74" fillId="0" borderId="9" xfId="0" applyNumberFormat="1" applyFont="1" applyFill="1" applyBorder="1" applyProtection="1">
      <alignment vertical="center"/>
      <protection locked="0"/>
    </xf>
    <xf numFmtId="0" fontId="74" fillId="0" borderId="10" xfId="0" applyNumberFormat="1" applyFont="1" applyBorder="1" applyProtection="1">
      <alignment vertical="center"/>
      <protection locked="0"/>
    </xf>
    <xf numFmtId="0" fontId="3" fillId="0" borderId="3" xfId="0" applyNumberFormat="1" applyFont="1" applyBorder="1" applyProtection="1">
      <alignment vertical="center"/>
      <protection locked="0"/>
    </xf>
    <xf numFmtId="0" fontId="11" fillId="0" borderId="0" xfId="0" applyNumberFormat="1" applyFont="1" applyProtection="1">
      <alignment vertical="center"/>
    </xf>
    <xf numFmtId="0" fontId="12" fillId="0" borderId="0" xfId="0" applyNumberFormat="1" applyFont="1" applyProtection="1">
      <alignment vertical="center"/>
    </xf>
    <xf numFmtId="0" fontId="12" fillId="0" borderId="5" xfId="0" applyNumberFormat="1" applyFont="1" applyBorder="1" applyAlignment="1" applyProtection="1">
      <alignment vertical="center" wrapText="1"/>
    </xf>
    <xf numFmtId="0" fontId="3" fillId="0" borderId="6" xfId="0" applyNumberFormat="1" applyFont="1" applyBorder="1" applyProtection="1">
      <alignment vertical="center"/>
    </xf>
    <xf numFmtId="0" fontId="3" fillId="0" borderId="5" xfId="0" applyNumberFormat="1" applyFont="1" applyBorder="1" applyProtection="1">
      <alignment vertical="center"/>
    </xf>
    <xf numFmtId="0" fontId="3" fillId="0" borderId="14" xfId="0" applyNumberFormat="1" applyFont="1" applyBorder="1" applyProtection="1">
      <alignment vertical="center"/>
    </xf>
    <xf numFmtId="0" fontId="14" fillId="9" borderId="5" xfId="0" applyNumberFormat="1" applyFont="1" applyFill="1" applyBorder="1" applyProtection="1">
      <alignment vertical="center"/>
    </xf>
    <xf numFmtId="0" fontId="14" fillId="9" borderId="6" xfId="0" applyNumberFormat="1" applyFont="1" applyFill="1" applyBorder="1" applyProtection="1">
      <alignment vertical="center"/>
    </xf>
    <xf numFmtId="0" fontId="15" fillId="0" borderId="5" xfId="0" applyNumberFormat="1" applyFont="1" applyBorder="1" applyAlignment="1" applyProtection="1">
      <alignment vertical="center" wrapText="1"/>
    </xf>
    <xf numFmtId="0" fontId="0" fillId="0" borderId="20" xfId="0" applyNumberFormat="1" applyBorder="1" applyAlignment="1" applyProtection="1">
      <alignment vertical="center" wrapText="1"/>
    </xf>
    <xf numFmtId="0" fontId="15" fillId="0" borderId="21" xfId="0" applyNumberFormat="1" applyFont="1" applyBorder="1" applyProtection="1">
      <alignment vertical="center"/>
    </xf>
    <xf numFmtId="0" fontId="0" fillId="0" borderId="67" xfId="0" applyNumberFormat="1" applyBorder="1" applyAlignment="1" applyProtection="1">
      <alignment vertical="center" wrapText="1"/>
    </xf>
    <xf numFmtId="0" fontId="14" fillId="9" borderId="21" xfId="0" applyNumberFormat="1" applyFont="1" applyFill="1" applyBorder="1" applyProtection="1">
      <alignment vertical="center"/>
    </xf>
    <xf numFmtId="0" fontId="14" fillId="9" borderId="67" xfId="0" applyNumberFormat="1" applyFont="1" applyFill="1" applyBorder="1" applyProtection="1">
      <alignment vertical="center"/>
    </xf>
    <xf numFmtId="0" fontId="0" fillId="0" borderId="68" xfId="0" applyNumberFormat="1" applyBorder="1" applyProtection="1">
      <alignment vertical="center"/>
    </xf>
    <xf numFmtId="0" fontId="14" fillId="0" borderId="100" xfId="0" applyNumberFormat="1" applyFont="1" applyBorder="1" applyProtection="1">
      <alignment vertical="center"/>
    </xf>
    <xf numFmtId="0" fontId="0" fillId="8" borderId="74" xfId="0" applyNumberFormat="1" applyFill="1" applyBorder="1" applyProtection="1">
      <alignment vertical="center"/>
    </xf>
    <xf numFmtId="0" fontId="0" fillId="0" borderId="3" xfId="0" applyNumberFormat="1" applyBorder="1" applyAlignment="1" applyProtection="1">
      <alignment vertical="center"/>
    </xf>
    <xf numFmtId="0" fontId="0" fillId="0" borderId="3" xfId="0" applyNumberFormat="1" applyBorder="1" applyAlignment="1" applyProtection="1">
      <alignment horizontal="center" vertical="center"/>
    </xf>
    <xf numFmtId="0" fontId="0" fillId="0" borderId="12" xfId="0" applyNumberFormat="1" applyBorder="1" applyProtection="1">
      <alignment vertical="center"/>
    </xf>
    <xf numFmtId="0" fontId="12" fillId="0" borderId="9" xfId="0" applyNumberFormat="1" applyFont="1" applyBorder="1" applyAlignment="1" applyProtection="1">
      <alignment vertical="center" wrapText="1"/>
    </xf>
    <xf numFmtId="0" fontId="3" fillId="5" borderId="0" xfId="0" applyNumberFormat="1" applyFont="1" applyFill="1" applyProtection="1">
      <alignment vertical="center"/>
    </xf>
    <xf numFmtId="0" fontId="74" fillId="9" borderId="5" xfId="0" applyNumberFormat="1" applyFont="1" applyFill="1" applyBorder="1" applyAlignment="1" applyProtection="1">
      <alignment vertical="center"/>
    </xf>
    <xf numFmtId="0" fontId="12" fillId="0" borderId="5" xfId="0" applyNumberFormat="1" applyFont="1" applyBorder="1" applyProtection="1">
      <alignment vertical="center"/>
    </xf>
    <xf numFmtId="0" fontId="0" fillId="0" borderId="9" xfId="0" applyNumberFormat="1" applyBorder="1" applyAlignment="1" applyProtection="1">
      <alignment vertical="center" wrapText="1"/>
    </xf>
    <xf numFmtId="0" fontId="15" fillId="0" borderId="10" xfId="0" applyNumberFormat="1" applyFont="1" applyBorder="1" applyProtection="1">
      <alignment vertical="center"/>
    </xf>
    <xf numFmtId="0" fontId="0" fillId="0" borderId="10" xfId="0" applyNumberFormat="1" applyBorder="1" applyAlignment="1" applyProtection="1">
      <alignment vertical="center" wrapText="1"/>
    </xf>
    <xf numFmtId="177" fontId="74" fillId="0" borderId="0" xfId="0" applyFont="1">
      <alignment vertical="center"/>
    </xf>
    <xf numFmtId="0" fontId="54" fillId="0" borderId="50" xfId="0" applyNumberFormat="1" applyFont="1" applyBorder="1" applyAlignment="1">
      <alignment horizontal="center" vertical="center" wrapText="1"/>
    </xf>
    <xf numFmtId="0" fontId="54" fillId="0" borderId="58" xfId="0" applyNumberFormat="1" applyFont="1" applyBorder="1" applyAlignment="1">
      <alignment horizontal="center" vertical="center" wrapText="1"/>
    </xf>
    <xf numFmtId="0" fontId="54" fillId="0" borderId="27" xfId="0" applyNumberFormat="1" applyFont="1" applyBorder="1" applyAlignment="1">
      <alignment horizontal="center" vertical="center" wrapText="1"/>
    </xf>
    <xf numFmtId="0" fontId="54" fillId="0" borderId="29" xfId="0" applyNumberFormat="1" applyFont="1" applyBorder="1" applyAlignment="1">
      <alignment horizontal="center" vertical="center" wrapText="1"/>
    </xf>
    <xf numFmtId="0" fontId="54" fillId="0" borderId="18" xfId="0" applyNumberFormat="1" applyFont="1" applyBorder="1" applyAlignment="1">
      <alignment horizontal="center" vertical="center" wrapText="1"/>
    </xf>
    <xf numFmtId="0" fontId="54" fillId="0" borderId="19" xfId="0" applyNumberFormat="1" applyFont="1" applyBorder="1" applyAlignment="1">
      <alignment horizontal="center" vertical="center" wrapText="1"/>
    </xf>
    <xf numFmtId="0" fontId="51" fillId="0" borderId="50" xfId="0" applyNumberFormat="1" applyFont="1" applyBorder="1" applyAlignment="1">
      <alignment horizontal="center" vertical="center" wrapText="1"/>
    </xf>
    <xf numFmtId="0" fontId="51" fillId="0" borderId="58" xfId="0" applyNumberFormat="1" applyFont="1" applyBorder="1" applyAlignment="1">
      <alignment horizontal="center" vertical="center" wrapText="1"/>
    </xf>
    <xf numFmtId="0" fontId="51" fillId="0" borderId="27" xfId="0" applyNumberFormat="1" applyFont="1" applyBorder="1" applyAlignment="1">
      <alignment horizontal="center" vertical="center" wrapText="1"/>
    </xf>
    <xf numFmtId="0" fontId="51" fillId="0" borderId="29" xfId="0" applyNumberFormat="1" applyFont="1" applyBorder="1" applyAlignment="1">
      <alignment horizontal="center" vertical="center" wrapText="1"/>
    </xf>
    <xf numFmtId="0" fontId="51" fillId="0" borderId="18" xfId="0" applyNumberFormat="1" applyFont="1" applyBorder="1" applyAlignment="1">
      <alignment horizontal="center" vertical="center" wrapText="1"/>
    </xf>
    <xf numFmtId="0" fontId="51" fillId="0" borderId="19" xfId="0" applyNumberFormat="1" applyFont="1" applyBorder="1" applyAlignment="1">
      <alignment horizontal="center" vertical="center" wrapText="1"/>
    </xf>
    <xf numFmtId="0" fontId="49" fillId="0" borderId="27" xfId="0" applyNumberFormat="1" applyFont="1" applyBorder="1" applyAlignment="1">
      <alignment horizontal="center" vertical="center"/>
    </xf>
    <xf numFmtId="0" fontId="49" fillId="0" borderId="0" xfId="0" applyNumberFormat="1" applyFont="1" applyAlignment="1">
      <alignment horizontal="center" vertical="center"/>
    </xf>
    <xf numFmtId="0" fontId="49" fillId="0" borderId="29" xfId="0" applyNumberFormat="1" applyFont="1" applyBorder="1" applyAlignment="1">
      <alignment horizontal="center" vertical="center"/>
    </xf>
    <xf numFmtId="0" fontId="32" fillId="0" borderId="0" xfId="0" applyNumberFormat="1" applyFont="1" applyAlignment="1">
      <alignment horizontal="left" vertical="center"/>
    </xf>
    <xf numFmtId="0" fontId="32" fillId="0" borderId="29" xfId="0" applyNumberFormat="1" applyFont="1" applyBorder="1" applyAlignment="1">
      <alignment horizontal="left" vertical="center"/>
    </xf>
    <xf numFmtId="0" fontId="48" fillId="0" borderId="52" xfId="0" applyNumberFormat="1" applyFont="1" applyBorder="1" applyAlignment="1">
      <alignment horizontal="left" vertical="center"/>
    </xf>
    <xf numFmtId="0" fontId="48" fillId="0" borderId="19" xfId="0" applyNumberFormat="1" applyFont="1" applyBorder="1" applyAlignment="1">
      <alignment horizontal="left" vertical="center"/>
    </xf>
    <xf numFmtId="0" fontId="32" fillId="0" borderId="0" xfId="0" applyNumberFormat="1" applyFont="1" applyAlignment="1">
      <alignment horizontal="center" vertical="center"/>
    </xf>
    <xf numFmtId="0" fontId="48" fillId="0" borderId="50" xfId="0" applyNumberFormat="1" applyFont="1" applyBorder="1" applyAlignment="1">
      <alignment horizontal="left" vertical="center"/>
    </xf>
    <xf numFmtId="0" fontId="48" fillId="0" borderId="51" xfId="0" applyNumberFormat="1" applyFont="1" applyBorder="1" applyAlignment="1">
      <alignment horizontal="left" vertical="center"/>
    </xf>
    <xf numFmtId="0" fontId="48" fillId="0" borderId="58" xfId="0" applyNumberFormat="1" applyFont="1" applyBorder="1" applyAlignment="1">
      <alignment horizontal="left" vertical="center"/>
    </xf>
    <xf numFmtId="0" fontId="49" fillId="0" borderId="27" xfId="0" applyNumberFormat="1" applyFont="1" applyBorder="1" applyAlignment="1">
      <alignment horizontal="left" vertical="center" wrapText="1"/>
    </xf>
    <xf numFmtId="0" fontId="49" fillId="0" borderId="0" xfId="0" applyNumberFormat="1" applyFont="1" applyAlignment="1">
      <alignment horizontal="left" vertical="center" wrapText="1"/>
    </xf>
    <xf numFmtId="0" fontId="49" fillId="0" borderId="29" xfId="0" applyNumberFormat="1" applyFont="1" applyBorder="1" applyAlignment="1">
      <alignment horizontal="left" vertical="center" wrapText="1"/>
    </xf>
    <xf numFmtId="0" fontId="51" fillId="0" borderId="27" xfId="0" applyNumberFormat="1" applyFont="1" applyBorder="1" applyAlignment="1">
      <alignment horizontal="center" vertical="center"/>
    </xf>
    <xf numFmtId="0" fontId="51" fillId="0" borderId="0" xfId="0" applyNumberFormat="1" applyFont="1" applyAlignment="1">
      <alignment horizontal="center" vertical="center"/>
    </xf>
    <xf numFmtId="0" fontId="49" fillId="0" borderId="0" xfId="0" applyNumberFormat="1" applyFont="1" applyAlignment="1">
      <alignment horizontal="left" vertical="center"/>
    </xf>
    <xf numFmtId="0" fontId="50" fillId="0" borderId="52" xfId="0" applyNumberFormat="1" applyFont="1" applyBorder="1" applyAlignment="1">
      <alignment horizontal="center" vertical="center"/>
    </xf>
    <xf numFmtId="0" fontId="49" fillId="0" borderId="74" xfId="0" applyNumberFormat="1" applyFont="1" applyBorder="1" applyAlignment="1">
      <alignment horizontal="center" vertical="center"/>
    </xf>
    <xf numFmtId="0" fontId="48" fillId="0" borderId="27" xfId="0" applyNumberFormat="1" applyFont="1" applyBorder="1" applyAlignment="1">
      <alignment horizontal="left" vertical="center"/>
    </xf>
    <xf numFmtId="0" fontId="48" fillId="0" borderId="0" xfId="0" applyNumberFormat="1" applyFont="1" applyAlignment="1">
      <alignment horizontal="left" vertical="center"/>
    </xf>
    <xf numFmtId="0" fontId="48" fillId="0" borderId="29" xfId="0" applyNumberFormat="1" applyFont="1" applyBorder="1" applyAlignment="1">
      <alignment horizontal="left" vertical="center"/>
    </xf>
    <xf numFmtId="0" fontId="49" fillId="0" borderId="27" xfId="0" applyNumberFormat="1" applyFont="1" applyBorder="1" applyAlignment="1">
      <alignment horizontal="left" vertical="center"/>
    </xf>
    <xf numFmtId="0" fontId="49" fillId="0" borderId="29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center" vertical="center"/>
    </xf>
    <xf numFmtId="0" fontId="46" fillId="16" borderId="2" xfId="0" applyNumberFormat="1" applyFont="1" applyFill="1" applyBorder="1" applyAlignment="1">
      <alignment horizontal="center" vertical="center" wrapText="1"/>
    </xf>
    <xf numFmtId="0" fontId="46" fillId="16" borderId="3" xfId="0" applyNumberFormat="1" applyFont="1" applyFill="1" applyBorder="1" applyAlignment="1">
      <alignment horizontal="center" vertical="center" wrapText="1"/>
    </xf>
    <xf numFmtId="0" fontId="46" fillId="16" borderId="11" xfId="0" applyNumberFormat="1" applyFont="1" applyFill="1" applyBorder="1" applyAlignment="1">
      <alignment horizontal="center" vertical="center" wrapText="1"/>
    </xf>
    <xf numFmtId="0" fontId="46" fillId="16" borderId="4" xfId="0" applyNumberFormat="1" applyFont="1" applyFill="1" applyBorder="1" applyAlignment="1">
      <alignment horizontal="center" vertical="center" wrapText="1"/>
    </xf>
    <xf numFmtId="0" fontId="46" fillId="16" borderId="5" xfId="0" applyNumberFormat="1" applyFont="1" applyFill="1" applyBorder="1" applyAlignment="1">
      <alignment horizontal="center" vertical="center" wrapText="1"/>
    </xf>
    <xf numFmtId="0" fontId="46" fillId="16" borderId="6" xfId="0" applyNumberFormat="1" applyFont="1" applyFill="1" applyBorder="1" applyAlignment="1">
      <alignment horizontal="center" vertical="center" wrapText="1"/>
    </xf>
    <xf numFmtId="0" fontId="46" fillId="16" borderId="9" xfId="0" applyNumberFormat="1" applyFont="1" applyFill="1" applyBorder="1" applyAlignment="1">
      <alignment horizontal="center" vertical="center" wrapText="1"/>
    </xf>
    <xf numFmtId="0" fontId="46" fillId="16" borderId="10" xfId="0" applyNumberFormat="1" applyFont="1" applyFill="1" applyBorder="1" applyAlignment="1">
      <alignment horizontal="center" vertical="center" wrapText="1"/>
    </xf>
    <xf numFmtId="0" fontId="46" fillId="16" borderId="15" xfId="0" applyNumberFormat="1" applyFont="1" applyFill="1" applyBorder="1" applyAlignment="1">
      <alignment horizontal="center" vertical="center" wrapText="1"/>
    </xf>
    <xf numFmtId="0" fontId="46" fillId="17" borderId="4" xfId="0" applyNumberFormat="1" applyFont="1" applyFill="1" applyBorder="1" applyAlignment="1">
      <alignment horizontal="center" vertical="center"/>
    </xf>
    <xf numFmtId="0" fontId="46" fillId="17" borderId="5" xfId="0" applyNumberFormat="1" applyFont="1" applyFill="1" applyBorder="1" applyAlignment="1">
      <alignment horizontal="center" vertical="center"/>
    </xf>
    <xf numFmtId="0" fontId="46" fillId="17" borderId="9" xfId="0" applyNumberFormat="1" applyFont="1" applyFill="1" applyBorder="1" applyAlignment="1">
      <alignment horizontal="center" vertical="center"/>
    </xf>
    <xf numFmtId="0" fontId="46" fillId="17" borderId="10" xfId="0" applyNumberFormat="1" applyFont="1" applyFill="1" applyBorder="1" applyAlignment="1">
      <alignment horizontal="center" vertical="center"/>
    </xf>
    <xf numFmtId="0" fontId="46" fillId="16" borderId="25" xfId="0" applyNumberFormat="1" applyFont="1" applyFill="1" applyBorder="1" applyAlignment="1">
      <alignment horizontal="center" vertical="center"/>
    </xf>
    <xf numFmtId="0" fontId="46" fillId="16" borderId="24" xfId="0" applyNumberFormat="1" applyFont="1" applyFill="1" applyBorder="1" applyAlignment="1">
      <alignment horizontal="center" vertical="center"/>
    </xf>
    <xf numFmtId="0" fontId="46" fillId="16" borderId="9" xfId="0" applyNumberFormat="1" applyFont="1" applyFill="1" applyBorder="1" applyAlignment="1">
      <alignment horizontal="center" vertical="center"/>
    </xf>
    <xf numFmtId="0" fontId="46" fillId="16" borderId="10" xfId="0" applyNumberFormat="1" applyFont="1" applyFill="1" applyBorder="1" applyAlignment="1">
      <alignment horizontal="center" vertical="center"/>
    </xf>
    <xf numFmtId="0" fontId="3" fillId="16" borderId="50" xfId="0" applyNumberFormat="1" applyFont="1" applyFill="1" applyBorder="1" applyAlignment="1">
      <alignment horizontal="center" vertical="center" wrapText="1"/>
    </xf>
    <xf numFmtId="0" fontId="3" fillId="16" borderId="51" xfId="0" applyNumberFormat="1" applyFont="1" applyFill="1" applyBorder="1" applyAlignment="1">
      <alignment horizontal="center" vertical="center" wrapText="1"/>
    </xf>
    <xf numFmtId="0" fontId="3" fillId="16" borderId="101" xfId="0" applyNumberFormat="1" applyFont="1" applyFill="1" applyBorder="1" applyAlignment="1">
      <alignment horizontal="center" vertical="center" wrapText="1"/>
    </xf>
    <xf numFmtId="0" fontId="3" fillId="16" borderId="27" xfId="0" applyNumberFormat="1" applyFont="1" applyFill="1" applyBorder="1" applyAlignment="1">
      <alignment horizontal="center" vertical="center" wrapText="1"/>
    </xf>
    <xf numFmtId="0" fontId="3" fillId="16" borderId="0" xfId="0" applyNumberFormat="1" applyFont="1" applyFill="1" applyAlignment="1">
      <alignment horizontal="center" vertical="center" wrapText="1"/>
    </xf>
    <xf numFmtId="0" fontId="3" fillId="16" borderId="42" xfId="0" applyNumberFormat="1" applyFont="1" applyFill="1" applyBorder="1" applyAlignment="1">
      <alignment horizontal="center" vertical="center" wrapText="1"/>
    </xf>
    <xf numFmtId="0" fontId="3" fillId="16" borderId="102" xfId="0" applyNumberFormat="1" applyFont="1" applyFill="1" applyBorder="1" applyAlignment="1">
      <alignment horizontal="center" vertical="center" wrapText="1"/>
    </xf>
    <xf numFmtId="0" fontId="3" fillId="16" borderId="37" xfId="0" applyNumberFormat="1" applyFont="1" applyFill="1" applyBorder="1" applyAlignment="1">
      <alignment horizontal="center" vertical="center" wrapText="1"/>
    </xf>
    <xf numFmtId="0" fontId="3" fillId="16" borderId="43" xfId="0" applyNumberFormat="1" applyFont="1" applyFill="1" applyBorder="1" applyAlignment="1">
      <alignment horizontal="center" vertical="center" wrapText="1"/>
    </xf>
    <xf numFmtId="0" fontId="46" fillId="18" borderId="25" xfId="0" applyNumberFormat="1" applyFont="1" applyFill="1" applyBorder="1" applyAlignment="1">
      <alignment horizontal="center" vertical="center"/>
    </xf>
    <xf numFmtId="0" fontId="46" fillId="18" borderId="24" xfId="0" applyNumberFormat="1" applyFont="1" applyFill="1" applyBorder="1" applyAlignment="1">
      <alignment horizontal="center" vertical="center"/>
    </xf>
    <xf numFmtId="0" fontId="46" fillId="18" borderId="20" xfId="0" applyNumberFormat="1" applyFont="1" applyFill="1" applyBorder="1" applyAlignment="1">
      <alignment horizontal="center" vertical="center"/>
    </xf>
    <xf numFmtId="0" fontId="46" fillId="18" borderId="21" xfId="0" applyNumberFormat="1" applyFont="1" applyFill="1" applyBorder="1" applyAlignment="1">
      <alignment horizontal="center" vertical="center"/>
    </xf>
    <xf numFmtId="0" fontId="46" fillId="18" borderId="67" xfId="0" applyNumberFormat="1" applyFont="1" applyFill="1" applyBorder="1" applyAlignment="1">
      <alignment horizontal="center" vertical="center"/>
    </xf>
    <xf numFmtId="0" fontId="0" fillId="18" borderId="50" xfId="0" applyNumberFormat="1" applyFill="1" applyBorder="1" applyAlignment="1">
      <alignment horizontal="center" vertical="center" wrapText="1"/>
    </xf>
    <xf numFmtId="0" fontId="0" fillId="18" borderId="51" xfId="0" applyNumberFormat="1" applyFill="1" applyBorder="1" applyAlignment="1">
      <alignment horizontal="center" vertical="center" wrapText="1"/>
    </xf>
    <xf numFmtId="0" fontId="0" fillId="18" borderId="58" xfId="0" applyNumberFormat="1" applyFill="1" applyBorder="1" applyAlignment="1">
      <alignment horizontal="center" vertical="center" wrapText="1"/>
    </xf>
    <xf numFmtId="0" fontId="0" fillId="18" borderId="27" xfId="0" applyNumberFormat="1" applyFill="1" applyBorder="1" applyAlignment="1">
      <alignment horizontal="center" vertical="center" wrapText="1"/>
    </xf>
    <xf numFmtId="0" fontId="0" fillId="18" borderId="0" xfId="0" applyNumberFormat="1" applyFill="1" applyAlignment="1">
      <alignment horizontal="center" vertical="center" wrapText="1"/>
    </xf>
    <xf numFmtId="0" fontId="0" fillId="18" borderId="29" xfId="0" applyNumberFormat="1" applyFill="1" applyBorder="1" applyAlignment="1">
      <alignment horizontal="center" vertical="center" wrapText="1"/>
    </xf>
    <xf numFmtId="0" fontId="10" fillId="0" borderId="50" xfId="0" applyNumberFormat="1" applyFont="1" applyBorder="1" applyAlignment="1">
      <alignment horizontal="center" vertical="center"/>
    </xf>
    <xf numFmtId="0" fontId="10" fillId="0" borderId="51" xfId="0" applyNumberFormat="1" applyFont="1" applyBorder="1" applyAlignment="1">
      <alignment horizontal="center" vertical="center"/>
    </xf>
    <xf numFmtId="0" fontId="10" fillId="0" borderId="58" xfId="0" applyNumberFormat="1" applyFon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52" xfId="0" applyNumberFormat="1" applyFont="1" applyBorder="1" applyAlignment="1">
      <alignment horizontal="center" vertical="center"/>
    </xf>
    <xf numFmtId="0" fontId="10" fillId="0" borderId="19" xfId="0" applyNumberFormat="1" applyFont="1" applyBorder="1" applyAlignment="1">
      <alignment horizontal="center" vertical="center"/>
    </xf>
    <xf numFmtId="0" fontId="49" fillId="0" borderId="68" xfId="0" applyNumberFormat="1" applyFont="1" applyBorder="1" applyAlignment="1">
      <alignment horizontal="center" vertical="center"/>
    </xf>
    <xf numFmtId="0" fontId="49" fillId="0" borderId="75" xfId="0" applyNumberFormat="1" applyFont="1" applyBorder="1" applyAlignment="1">
      <alignment horizontal="center" vertical="center"/>
    </xf>
    <xf numFmtId="0" fontId="49" fillId="19" borderId="52" xfId="0" applyNumberFormat="1" applyFont="1" applyFill="1" applyBorder="1" applyAlignment="1">
      <alignment horizontal="left" vertical="center"/>
    </xf>
    <xf numFmtId="0" fontId="0" fillId="0" borderId="68" xfId="0" applyNumberFormat="1" applyBorder="1" applyAlignment="1">
      <alignment horizontal="center" vertical="center"/>
    </xf>
    <xf numFmtId="0" fontId="0" fillId="0" borderId="75" xfId="0" applyNumberFormat="1" applyBorder="1" applyAlignment="1">
      <alignment horizontal="center" vertical="center"/>
    </xf>
    <xf numFmtId="0" fontId="0" fillId="0" borderId="7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49" fillId="0" borderId="9" xfId="0" applyNumberFormat="1" applyFont="1" applyBorder="1" applyAlignment="1">
      <alignment horizontal="center" vertical="center"/>
    </xf>
    <xf numFmtId="0" fontId="49" fillId="0" borderId="10" xfId="0" applyNumberFormat="1" applyFont="1" applyBorder="1" applyAlignment="1">
      <alignment horizontal="center" vertical="center"/>
    </xf>
    <xf numFmtId="0" fontId="49" fillId="17" borderId="10" xfId="0" applyNumberFormat="1" applyFont="1" applyFill="1" applyBorder="1" applyAlignment="1">
      <alignment horizontal="left" vertical="center"/>
    </xf>
    <xf numFmtId="0" fontId="49" fillId="17" borderId="26" xfId="0" applyNumberFormat="1" applyFont="1" applyFill="1" applyBorder="1" applyAlignment="1">
      <alignment horizontal="left" vertical="center"/>
    </xf>
    <xf numFmtId="0" fontId="49" fillId="0" borderId="18" xfId="0" applyNumberFormat="1" applyFont="1" applyBorder="1" applyAlignment="1">
      <alignment horizontal="center" vertical="center"/>
    </xf>
    <xf numFmtId="0" fontId="49" fillId="0" borderId="19" xfId="0" applyNumberFormat="1" applyFont="1" applyBorder="1" applyAlignment="1">
      <alignment horizontal="center" vertical="center"/>
    </xf>
    <xf numFmtId="0" fontId="48" fillId="0" borderId="68" xfId="0" applyNumberFormat="1" applyFont="1" applyBorder="1" applyAlignment="1">
      <alignment horizontal="center" vertical="center"/>
    </xf>
    <xf numFmtId="0" fontId="48" fillId="0" borderId="74" xfId="0" applyNumberFormat="1" applyFont="1" applyBorder="1" applyAlignment="1">
      <alignment horizontal="center" vertical="center"/>
    </xf>
    <xf numFmtId="0" fontId="48" fillId="0" borderId="75" xfId="0" applyNumberFormat="1" applyFont="1" applyBorder="1" applyAlignment="1">
      <alignment horizontal="center" vertical="center"/>
    </xf>
    <xf numFmtId="0" fontId="49" fillId="18" borderId="23" xfId="0" applyNumberFormat="1" applyFont="1" applyFill="1" applyBorder="1" applyAlignment="1">
      <alignment horizontal="center" vertical="center"/>
    </xf>
    <xf numFmtId="0" fontId="49" fillId="16" borderId="23" xfId="0" applyNumberFormat="1" applyFont="1" applyFill="1" applyBorder="1" applyAlignment="1">
      <alignment horizontal="center" vertical="center"/>
    </xf>
    <xf numFmtId="0" fontId="49" fillId="17" borderId="23" xfId="0" applyNumberFormat="1" applyFont="1" applyFill="1" applyBorder="1" applyAlignment="1">
      <alignment horizontal="center" vertical="center"/>
    </xf>
    <xf numFmtId="0" fontId="49" fillId="17" borderId="17" xfId="0" applyNumberFormat="1" applyFont="1" applyFill="1" applyBorder="1" applyAlignment="1">
      <alignment horizontal="center" vertical="center"/>
    </xf>
    <xf numFmtId="0" fontId="49" fillId="19" borderId="63" xfId="0" applyNumberFormat="1" applyFont="1" applyFill="1" applyBorder="1" applyAlignment="1">
      <alignment horizontal="center" vertical="center"/>
    </xf>
    <xf numFmtId="0" fontId="49" fillId="19" borderId="30" xfId="0" applyNumberFormat="1" applyFont="1" applyFill="1" applyBorder="1" applyAlignment="1">
      <alignment horizontal="center" vertical="center"/>
    </xf>
    <xf numFmtId="0" fontId="49" fillId="19" borderId="109" xfId="0" applyNumberFormat="1" applyFont="1" applyFill="1" applyBorder="1" applyAlignment="1">
      <alignment horizontal="center" vertical="center"/>
    </xf>
    <xf numFmtId="0" fontId="49" fillId="18" borderId="63" xfId="0" applyNumberFormat="1" applyFont="1" applyFill="1" applyBorder="1" applyAlignment="1">
      <alignment horizontal="center" vertical="center"/>
    </xf>
    <xf numFmtId="0" fontId="49" fillId="18" borderId="30" xfId="0" applyNumberFormat="1" applyFont="1" applyFill="1" applyBorder="1" applyAlignment="1">
      <alignment horizontal="center" vertical="center"/>
    </xf>
    <xf numFmtId="0" fontId="49" fillId="16" borderId="2" xfId="0" applyNumberFormat="1" applyFont="1" applyFill="1" applyBorder="1" applyAlignment="1">
      <alignment horizontal="center" vertical="center"/>
    </xf>
    <xf numFmtId="0" fontId="49" fillId="16" borderId="12" xfId="0" applyNumberFormat="1" applyFont="1" applyFill="1" applyBorder="1" applyAlignment="1">
      <alignment horizontal="center" vertical="center"/>
    </xf>
    <xf numFmtId="0" fontId="49" fillId="17" borderId="63" xfId="0" applyNumberFormat="1" applyFont="1" applyFill="1" applyBorder="1" applyAlignment="1">
      <alignment horizontal="center" vertical="center"/>
    </xf>
    <xf numFmtId="0" fontId="49" fillId="17" borderId="30" xfId="0" applyNumberFormat="1" applyFont="1" applyFill="1" applyBorder="1" applyAlignment="1">
      <alignment horizontal="center" vertical="center"/>
    </xf>
    <xf numFmtId="0" fontId="49" fillId="17" borderId="109" xfId="0" applyNumberFormat="1" applyFont="1" applyFill="1" applyBorder="1" applyAlignment="1">
      <alignment horizontal="center" vertical="center"/>
    </xf>
    <xf numFmtId="0" fontId="49" fillId="16" borderId="63" xfId="0" applyNumberFormat="1" applyFont="1" applyFill="1" applyBorder="1" applyAlignment="1">
      <alignment horizontal="center" vertical="center"/>
    </xf>
    <xf numFmtId="0" fontId="49" fillId="16" borderId="30" xfId="0" applyNumberFormat="1" applyFont="1" applyFill="1" applyBorder="1" applyAlignment="1">
      <alignment horizontal="center" vertical="center"/>
    </xf>
    <xf numFmtId="0" fontId="49" fillId="19" borderId="42" xfId="0" applyNumberFormat="1" applyFont="1" applyFill="1" applyBorder="1" applyAlignment="1">
      <alignment horizontal="center" vertical="center"/>
    </xf>
    <xf numFmtId="0" fontId="49" fillId="19" borderId="23" xfId="0" applyNumberFormat="1" applyFont="1" applyFill="1" applyBorder="1" applyAlignment="1">
      <alignment horizontal="center" vertical="center"/>
    </xf>
    <xf numFmtId="0" fontId="49" fillId="19" borderId="24" xfId="0" applyNumberFormat="1" applyFont="1" applyFill="1" applyBorder="1" applyAlignment="1">
      <alignment horizontal="center" vertical="center"/>
    </xf>
    <xf numFmtId="0" fontId="0" fillId="17" borderId="23" xfId="0" applyNumberFormat="1" applyFill="1" applyBorder="1" applyAlignment="1">
      <alignment horizontal="center" vertical="center"/>
    </xf>
    <xf numFmtId="0" fontId="49" fillId="19" borderId="110" xfId="0" applyNumberFormat="1" applyFont="1" applyFill="1" applyBorder="1" applyAlignment="1">
      <alignment horizontal="center" vertical="center"/>
    </xf>
    <xf numFmtId="0" fontId="48" fillId="0" borderId="18" xfId="0" applyNumberFormat="1" applyFont="1" applyBorder="1" applyAlignment="1">
      <alignment horizontal="center" vertical="center"/>
    </xf>
    <xf numFmtId="0" fontId="48" fillId="0" borderId="52" xfId="0" applyNumberFormat="1" applyFont="1" applyBorder="1" applyAlignment="1">
      <alignment horizontal="center" vertical="center"/>
    </xf>
    <xf numFmtId="0" fontId="48" fillId="0" borderId="19" xfId="0" applyNumberFormat="1" applyFon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52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46" fillId="0" borderId="68" xfId="0" applyNumberFormat="1" applyFont="1" applyBorder="1" applyAlignment="1">
      <alignment horizontal="center" vertical="center"/>
    </xf>
    <xf numFmtId="0" fontId="46" fillId="0" borderId="75" xfId="0" applyNumberFormat="1" applyFont="1" applyBorder="1" applyAlignment="1">
      <alignment horizontal="center" vertical="center"/>
    </xf>
    <xf numFmtId="0" fontId="0" fillId="19" borderId="10" xfId="0" applyNumberFormat="1" applyFill="1" applyBorder="1" applyAlignment="1">
      <alignment horizontal="center" vertical="center"/>
    </xf>
    <xf numFmtId="0" fontId="0" fillId="19" borderId="26" xfId="0" applyNumberFormat="1" applyFill="1" applyBorder="1" applyAlignment="1">
      <alignment horizontal="center" vertical="center"/>
    </xf>
    <xf numFmtId="0" fontId="0" fillId="16" borderId="9" xfId="0" applyNumberFormat="1" applyFill="1" applyBorder="1" applyAlignment="1">
      <alignment horizontal="center" vertical="center"/>
    </xf>
    <xf numFmtId="0" fontId="0" fillId="16" borderId="10" xfId="0" applyNumberFormat="1" applyFill="1" applyBorder="1" applyAlignment="1">
      <alignment horizontal="center" vertical="center"/>
    </xf>
    <xf numFmtId="0" fontId="65" fillId="17" borderId="10" xfId="0" applyNumberFormat="1" applyFont="1" applyFill="1" applyBorder="1" applyAlignment="1">
      <alignment horizontal="center" vertical="center"/>
    </xf>
    <xf numFmtId="0" fontId="65" fillId="17" borderId="26" xfId="0" applyNumberFormat="1" applyFont="1" applyFill="1" applyBorder="1" applyAlignment="1">
      <alignment horizontal="center" vertical="center"/>
    </xf>
    <xf numFmtId="0" fontId="0" fillId="18" borderId="9" xfId="0" applyNumberFormat="1" applyFill="1" applyBorder="1" applyAlignment="1">
      <alignment horizontal="center" vertical="center"/>
    </xf>
    <xf numFmtId="0" fontId="0" fillId="18" borderId="10" xfId="0" applyNumberFormat="1" applyFill="1" applyBorder="1" applyAlignment="1">
      <alignment horizontal="center" vertical="center"/>
    </xf>
    <xf numFmtId="0" fontId="0" fillId="16" borderId="20" xfId="0" applyNumberFormat="1" applyFill="1" applyBorder="1" applyAlignment="1">
      <alignment horizontal="center" vertical="center"/>
    </xf>
    <xf numFmtId="0" fontId="0" fillId="16" borderId="21" xfId="0" applyNumberFormat="1" applyFill="1" applyBorder="1" applyAlignment="1">
      <alignment horizontal="center" vertical="center"/>
    </xf>
    <xf numFmtId="0" fontId="0" fillId="18" borderId="21" xfId="0" applyNumberFormat="1" applyFill="1" applyBorder="1" applyAlignment="1">
      <alignment horizontal="center" vertical="center"/>
    </xf>
    <xf numFmtId="0" fontId="0" fillId="18" borderId="32" xfId="0" applyNumberFormat="1" applyFill="1" applyBorder="1" applyAlignment="1">
      <alignment horizontal="center" vertical="center"/>
    </xf>
    <xf numFmtId="0" fontId="49" fillId="23" borderId="9" xfId="0" applyNumberFormat="1" applyFont="1" applyFill="1" applyBorder="1" applyAlignment="1">
      <alignment horizontal="center" vertical="center"/>
    </xf>
    <xf numFmtId="0" fontId="49" fillId="23" borderId="10" xfId="0" applyNumberFormat="1" applyFont="1" applyFill="1" applyBorder="1" applyAlignment="1">
      <alignment horizontal="center" vertical="center"/>
    </xf>
    <xf numFmtId="0" fontId="0" fillId="24" borderId="10" xfId="0" applyNumberFormat="1" applyFill="1" applyBorder="1" applyAlignment="1">
      <alignment horizontal="center" vertical="center"/>
    </xf>
    <xf numFmtId="0" fontId="0" fillId="24" borderId="26" xfId="0" applyNumberFormat="1" applyFill="1" applyBorder="1" applyAlignment="1">
      <alignment horizontal="center" vertical="center"/>
    </xf>
    <xf numFmtId="0" fontId="0" fillId="22" borderId="9" xfId="0" applyNumberFormat="1" applyFill="1" applyBorder="1" applyAlignment="1">
      <alignment horizontal="center" vertical="center"/>
    </xf>
    <xf numFmtId="0" fontId="0" fillId="22" borderId="10" xfId="0" applyNumberFormat="1" applyFill="1" applyBorder="1" applyAlignment="1">
      <alignment horizontal="center" vertical="center"/>
    </xf>
    <xf numFmtId="0" fontId="49" fillId="23" borderId="26" xfId="0" applyNumberFormat="1" applyFont="1" applyFill="1" applyBorder="1" applyAlignment="1">
      <alignment horizontal="center" vertical="center"/>
    </xf>
    <xf numFmtId="0" fontId="0" fillId="16" borderId="31" xfId="0" applyNumberFormat="1" applyFill="1" applyBorder="1" applyAlignment="1">
      <alignment horizontal="center" vertical="center"/>
    </xf>
    <xf numFmtId="0" fontId="0" fillId="19" borderId="21" xfId="0" applyNumberFormat="1" applyFill="1" applyBorder="1" applyAlignment="1">
      <alignment horizontal="center" vertical="center"/>
    </xf>
    <xf numFmtId="0" fontId="0" fillId="19" borderId="32" xfId="0" applyNumberFormat="1" applyFill="1" applyBorder="1" applyAlignment="1">
      <alignment horizontal="center" vertical="center"/>
    </xf>
    <xf numFmtId="0" fontId="65" fillId="19" borderId="10" xfId="0" applyNumberFormat="1" applyFont="1" applyFill="1" applyBorder="1" applyAlignment="1">
      <alignment horizontal="center" vertical="center"/>
    </xf>
    <xf numFmtId="0" fontId="65" fillId="19" borderId="26" xfId="0" applyNumberFormat="1" applyFont="1" applyFill="1" applyBorder="1" applyAlignment="1">
      <alignment horizontal="center" vertical="center"/>
    </xf>
    <xf numFmtId="0" fontId="49" fillId="18" borderId="2" xfId="0" applyNumberFormat="1" applyFont="1" applyFill="1" applyBorder="1" applyAlignment="1">
      <alignment horizontal="center" vertical="center"/>
    </xf>
    <xf numFmtId="0" fontId="49" fillId="18" borderId="3" xfId="0" applyNumberFormat="1" applyFont="1" applyFill="1" applyBorder="1" applyAlignment="1">
      <alignment horizontal="center" vertical="center"/>
    </xf>
    <xf numFmtId="0" fontId="49" fillId="18" borderId="12" xfId="0" applyNumberFormat="1" applyFont="1" applyFill="1" applyBorder="1" applyAlignment="1">
      <alignment horizontal="center" vertical="center"/>
    </xf>
    <xf numFmtId="0" fontId="49" fillId="19" borderId="2" xfId="0" applyNumberFormat="1" applyFont="1" applyFill="1" applyBorder="1" applyAlignment="1">
      <alignment horizontal="center" vertical="center"/>
    </xf>
    <xf numFmtId="0" fontId="49" fillId="19" borderId="3" xfId="0" applyNumberFormat="1" applyFont="1" applyFill="1" applyBorder="1" applyAlignment="1">
      <alignment horizontal="center" vertical="center"/>
    </xf>
    <xf numFmtId="0" fontId="49" fillId="19" borderId="12" xfId="0" applyNumberFormat="1" applyFont="1" applyFill="1" applyBorder="1" applyAlignment="1">
      <alignment horizontal="center" vertical="center"/>
    </xf>
    <xf numFmtId="0" fontId="0" fillId="18" borderId="13" xfId="0" applyNumberFormat="1" applyFill="1" applyBorder="1" applyAlignment="1">
      <alignment horizontal="center" vertical="center"/>
    </xf>
    <xf numFmtId="0" fontId="0" fillId="18" borderId="3" xfId="0" applyNumberFormat="1" applyFill="1" applyBorder="1" applyAlignment="1">
      <alignment horizontal="center" vertical="center"/>
    </xf>
    <xf numFmtId="0" fontId="0" fillId="18" borderId="12" xfId="0" applyNumberFormat="1" applyFill="1" applyBorder="1" applyAlignment="1">
      <alignment horizontal="center" vertical="center"/>
    </xf>
    <xf numFmtId="0" fontId="49" fillId="16" borderId="3" xfId="0" applyNumberFormat="1" applyFont="1" applyFill="1" applyBorder="1" applyAlignment="1">
      <alignment horizontal="center" vertical="center"/>
    </xf>
    <xf numFmtId="0" fontId="0" fillId="18" borderId="2" xfId="0" applyNumberFormat="1" applyFill="1" applyBorder="1" applyAlignment="1">
      <alignment horizontal="center" vertical="center"/>
    </xf>
    <xf numFmtId="0" fontId="0" fillId="19" borderId="2" xfId="0" applyNumberFormat="1" applyFill="1" applyBorder="1" applyAlignment="1">
      <alignment horizontal="center" vertical="center"/>
    </xf>
    <xf numFmtId="0" fontId="0" fillId="19" borderId="3" xfId="0" applyNumberFormat="1" applyFill="1" applyBorder="1" applyAlignment="1">
      <alignment horizontal="center" vertical="center"/>
    </xf>
    <xf numFmtId="0" fontId="0" fillId="19" borderId="12" xfId="0" applyNumberFormat="1" applyFill="1" applyBorder="1" applyAlignment="1">
      <alignment horizontal="center" vertical="center"/>
    </xf>
    <xf numFmtId="0" fontId="0" fillId="16" borderId="2" xfId="0" applyNumberFormat="1" applyFill="1" applyBorder="1" applyAlignment="1">
      <alignment horizontal="center" vertical="center"/>
    </xf>
    <xf numFmtId="0" fontId="0" fillId="16" borderId="3" xfId="0" applyNumberFormat="1" applyFill="1" applyBorder="1">
      <alignment vertical="center"/>
    </xf>
    <xf numFmtId="0" fontId="0" fillId="16" borderId="12" xfId="0" applyNumberFormat="1" applyFill="1" applyBorder="1">
      <alignment vertical="center"/>
    </xf>
    <xf numFmtId="0" fontId="48" fillId="18" borderId="21" xfId="0" applyNumberFormat="1" applyFont="1" applyFill="1" applyBorder="1" applyAlignment="1">
      <alignment horizontal="center" vertical="center"/>
    </xf>
    <xf numFmtId="0" fontId="48" fillId="16" borderId="21" xfId="0" applyNumberFormat="1" applyFont="1" applyFill="1" applyBorder="1" applyAlignment="1">
      <alignment horizontal="center" vertical="center"/>
    </xf>
    <xf numFmtId="0" fontId="48" fillId="18" borderId="24" xfId="0" applyNumberFormat="1" applyFont="1" applyFill="1" applyBorder="1" applyAlignment="1">
      <alignment horizontal="center" vertical="center"/>
    </xf>
    <xf numFmtId="0" fontId="48" fillId="19" borderId="24" xfId="0" applyNumberFormat="1" applyFont="1" applyFill="1" applyBorder="1" applyAlignment="1">
      <alignment horizontal="center" vertical="center"/>
    </xf>
    <xf numFmtId="0" fontId="48" fillId="18" borderId="71" xfId="0" applyNumberFormat="1" applyFont="1" applyFill="1" applyBorder="1" applyAlignment="1">
      <alignment horizontal="center" vertical="center"/>
    </xf>
    <xf numFmtId="0" fontId="57" fillId="0" borderId="50" xfId="0" applyNumberFormat="1" applyFont="1" applyBorder="1" applyAlignment="1">
      <alignment horizontal="center" vertical="center"/>
    </xf>
    <xf numFmtId="0" fontId="57" fillId="0" borderId="51" xfId="0" applyNumberFormat="1" applyFont="1" applyBorder="1" applyAlignment="1">
      <alignment horizontal="center" vertical="center"/>
    </xf>
    <xf numFmtId="0" fontId="49" fillId="0" borderId="50" xfId="0" applyNumberFormat="1" applyFont="1" applyBorder="1" applyAlignment="1">
      <alignment horizontal="center" vertical="center"/>
    </xf>
    <xf numFmtId="0" fontId="49" fillId="0" borderId="51" xfId="0" applyNumberFormat="1" applyFont="1" applyBorder="1" applyAlignment="1">
      <alignment horizontal="center" vertical="center"/>
    </xf>
    <xf numFmtId="0" fontId="49" fillId="0" borderId="58" xfId="0" applyNumberFormat="1" applyFont="1" applyBorder="1" applyAlignment="1">
      <alignment horizontal="center" vertical="center"/>
    </xf>
    <xf numFmtId="0" fontId="57" fillId="0" borderId="18" xfId="0" applyNumberFormat="1" applyFont="1" applyBorder="1" applyAlignment="1">
      <alignment horizontal="center" vertical="center"/>
    </xf>
    <xf numFmtId="0" fontId="57" fillId="0" borderId="52" xfId="0" applyNumberFormat="1" applyFont="1" applyBorder="1" applyAlignment="1">
      <alignment horizontal="center" vertical="center"/>
    </xf>
    <xf numFmtId="0" fontId="49" fillId="0" borderId="65" xfId="0" applyNumberFormat="1" applyFont="1" applyBorder="1" applyAlignment="1">
      <alignment horizontal="center" vertical="center"/>
    </xf>
    <xf numFmtId="0" fontId="49" fillId="0" borderId="1" xfId="0" applyNumberFormat="1" applyFont="1" applyBorder="1" applyAlignment="1">
      <alignment horizontal="center" vertical="center"/>
    </xf>
    <xf numFmtId="0" fontId="49" fillId="0" borderId="70" xfId="0" applyNumberFormat="1" applyFont="1" applyBorder="1" applyAlignment="1">
      <alignment horizontal="center" vertical="center"/>
    </xf>
    <xf numFmtId="0" fontId="49" fillId="17" borderId="65" xfId="0" applyNumberFormat="1" applyFont="1" applyFill="1" applyBorder="1" applyAlignment="1">
      <alignment horizontal="center" vertical="center"/>
    </xf>
    <xf numFmtId="0" fontId="49" fillId="17" borderId="70" xfId="0" applyNumberFormat="1" applyFont="1" applyFill="1" applyBorder="1" applyAlignment="1">
      <alignment horizontal="center" vertical="center"/>
    </xf>
    <xf numFmtId="0" fontId="48" fillId="17" borderId="68" xfId="0" applyNumberFormat="1" applyFont="1" applyFill="1" applyBorder="1" applyAlignment="1">
      <alignment horizontal="center" vertical="center"/>
    </xf>
    <xf numFmtId="0" fontId="48" fillId="17" borderId="74" xfId="0" applyNumberFormat="1" applyFont="1" applyFill="1" applyBorder="1" applyAlignment="1">
      <alignment horizontal="center" vertical="center"/>
    </xf>
    <xf numFmtId="0" fontId="48" fillId="17" borderId="75" xfId="0" applyNumberFormat="1" applyFont="1" applyFill="1" applyBorder="1" applyAlignment="1">
      <alignment horizontal="center" vertical="center"/>
    </xf>
    <xf numFmtId="0" fontId="46" fillId="19" borderId="65" xfId="0" applyNumberFormat="1" applyFont="1" applyFill="1" applyBorder="1" applyAlignment="1">
      <alignment horizontal="center" vertical="center"/>
    </xf>
    <xf numFmtId="0" fontId="46" fillId="19" borderId="1" xfId="0" applyNumberFormat="1" applyFont="1" applyFill="1" applyBorder="1" applyAlignment="1">
      <alignment horizontal="center" vertical="center"/>
    </xf>
    <xf numFmtId="0" fontId="48" fillId="18" borderId="1" xfId="0" applyNumberFormat="1" applyFont="1" applyFill="1" applyBorder="1" applyAlignment="1">
      <alignment horizontal="center" vertical="center"/>
    </xf>
    <xf numFmtId="0" fontId="48" fillId="16" borderId="1" xfId="0" applyNumberFormat="1" applyFont="1" applyFill="1" applyBorder="1" applyAlignment="1">
      <alignment horizontal="center" vertical="center"/>
    </xf>
    <xf numFmtId="0" fontId="49" fillId="16" borderId="1" xfId="0" applyNumberFormat="1" applyFont="1" applyFill="1" applyBorder="1" applyAlignment="1">
      <alignment horizontal="center" vertical="center"/>
    </xf>
    <xf numFmtId="0" fontId="48" fillId="17" borderId="1" xfId="0" applyNumberFormat="1" applyFont="1" applyFill="1" applyBorder="1" applyAlignment="1">
      <alignment horizontal="center" vertical="center"/>
    </xf>
    <xf numFmtId="0" fontId="48" fillId="19" borderId="30" xfId="0" applyNumberFormat="1" applyFont="1" applyFill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  <xf numFmtId="0" fontId="48" fillId="21" borderId="30" xfId="0" applyNumberFormat="1" applyFont="1" applyFill="1" applyBorder="1" applyAlignment="1">
      <alignment horizontal="center" vertical="center"/>
    </xf>
    <xf numFmtId="0" fontId="48" fillId="16" borderId="30" xfId="0" applyNumberFormat="1" applyFont="1" applyFill="1" applyBorder="1" applyAlignment="1">
      <alignment horizontal="center" vertical="center"/>
    </xf>
    <xf numFmtId="0" fontId="48" fillId="16" borderId="103" xfId="0" applyNumberFormat="1" applyFont="1" applyFill="1" applyBorder="1" applyAlignment="1">
      <alignment horizontal="center" vertical="center"/>
    </xf>
    <xf numFmtId="0" fontId="49" fillId="0" borderId="63" xfId="0" applyNumberFormat="1" applyFont="1" applyBorder="1" applyAlignment="1">
      <alignment horizontal="center" vertical="center"/>
    </xf>
    <xf numFmtId="0" fontId="49" fillId="0" borderId="30" xfId="0" applyNumberFormat="1" applyFont="1" applyBorder="1" applyAlignment="1">
      <alignment horizontal="center" vertical="center"/>
    </xf>
    <xf numFmtId="0" fontId="49" fillId="0" borderId="109" xfId="0" applyNumberFormat="1" applyFont="1" applyBorder="1" applyAlignment="1">
      <alignment horizontal="center" vertical="center"/>
    </xf>
    <xf numFmtId="0" fontId="49" fillId="24" borderId="51" xfId="0" applyNumberFormat="1" applyFont="1" applyFill="1" applyBorder="1" applyAlignment="1">
      <alignment horizontal="center" vertical="center"/>
    </xf>
    <xf numFmtId="0" fontId="48" fillId="17" borderId="16" xfId="0" applyNumberFormat="1" applyFont="1" applyFill="1" applyBorder="1" applyAlignment="1">
      <alignment horizontal="left" vertical="center"/>
    </xf>
    <xf numFmtId="0" fontId="48" fillId="17" borderId="105" xfId="0" applyNumberFormat="1" applyFont="1" applyFill="1" applyBorder="1" applyAlignment="1">
      <alignment horizontal="left" vertical="center"/>
    </xf>
    <xf numFmtId="0" fontId="48" fillId="16" borderId="105" xfId="0" applyNumberFormat="1" applyFont="1" applyFill="1" applyBorder="1" applyAlignment="1">
      <alignment horizontal="right" vertical="center"/>
    </xf>
    <xf numFmtId="0" fontId="48" fillId="16" borderId="17" xfId="0" applyNumberFormat="1" applyFont="1" applyFill="1" applyBorder="1" applyAlignment="1">
      <alignment horizontal="right" vertical="center"/>
    </xf>
    <xf numFmtId="0" fontId="46" fillId="18" borderId="65" xfId="0" applyNumberFormat="1" applyFont="1" applyFill="1" applyBorder="1" applyAlignment="1">
      <alignment horizontal="center" vertical="center"/>
    </xf>
    <xf numFmtId="0" fontId="46" fillId="18" borderId="1" xfId="0" applyNumberFormat="1" applyFont="1" applyFill="1" applyBorder="1" applyAlignment="1">
      <alignment horizontal="center" vertical="center"/>
    </xf>
    <xf numFmtId="0" fontId="48" fillId="17" borderId="100" xfId="0" applyNumberFormat="1" applyFont="1" applyFill="1" applyBorder="1" applyAlignment="1">
      <alignment horizontal="center" vertical="center"/>
    </xf>
    <xf numFmtId="0" fontId="48" fillId="17" borderId="69" xfId="0" applyNumberFormat="1" applyFont="1" applyFill="1" applyBorder="1" applyAlignment="1">
      <alignment horizontal="center" vertical="center"/>
    </xf>
    <xf numFmtId="0" fontId="48" fillId="0" borderId="65" xfId="0" applyNumberFormat="1" applyFont="1" applyBorder="1" applyAlignment="1">
      <alignment horizontal="center" vertical="center"/>
    </xf>
    <xf numFmtId="0" fontId="48" fillId="0" borderId="1" xfId="0" applyNumberFormat="1" applyFont="1" applyBorder="1" applyAlignment="1">
      <alignment horizontal="center" vertical="center"/>
    </xf>
    <xf numFmtId="0" fontId="48" fillId="0" borderId="70" xfId="0" applyNumberFormat="1" applyFont="1" applyBorder="1" applyAlignment="1">
      <alignment horizontal="center" vertical="center"/>
    </xf>
    <xf numFmtId="0" fontId="48" fillId="18" borderId="69" xfId="0" applyNumberFormat="1" applyFont="1" applyFill="1" applyBorder="1" applyAlignment="1">
      <alignment horizontal="center" vertical="center"/>
    </xf>
    <xf numFmtId="0" fontId="48" fillId="18" borderId="100" xfId="0" applyNumberFormat="1" applyFont="1" applyFill="1" applyBorder="1" applyAlignment="1">
      <alignment horizontal="center" vertical="center"/>
    </xf>
    <xf numFmtId="0" fontId="66" fillId="0" borderId="65" xfId="0" applyNumberFormat="1" applyFont="1" applyBorder="1" applyAlignment="1">
      <alignment horizontal="center" vertical="center"/>
    </xf>
    <xf numFmtId="0" fontId="66" fillId="0" borderId="70" xfId="0" applyNumberFormat="1" applyFont="1" applyBorder="1" applyAlignment="1">
      <alignment horizontal="center" vertical="center"/>
    </xf>
    <xf numFmtId="0" fontId="48" fillId="16" borderId="100" xfId="0" applyNumberFormat="1" applyFont="1" applyFill="1" applyBorder="1" applyAlignment="1">
      <alignment horizontal="center" vertical="center"/>
    </xf>
    <xf numFmtId="0" fontId="48" fillId="18" borderId="65" xfId="0" applyNumberFormat="1" applyFont="1" applyFill="1" applyBorder="1" applyAlignment="1">
      <alignment horizontal="center" vertical="center"/>
    </xf>
    <xf numFmtId="0" fontId="48" fillId="18" borderId="70" xfId="0" applyNumberFormat="1" applyFont="1" applyFill="1" applyBorder="1" applyAlignment="1">
      <alignment horizontal="center" vertical="center"/>
    </xf>
    <xf numFmtId="0" fontId="48" fillId="18" borderId="10" xfId="0" applyNumberFormat="1" applyFont="1" applyFill="1" applyBorder="1" applyAlignment="1">
      <alignment horizontal="center" vertical="center"/>
    </xf>
    <xf numFmtId="0" fontId="48" fillId="19" borderId="105" xfId="0" applyNumberFormat="1" applyFont="1" applyFill="1" applyBorder="1" applyAlignment="1">
      <alignment horizontal="center" vertical="center"/>
    </xf>
    <xf numFmtId="0" fontId="48" fillId="19" borderId="104" xfId="0" applyNumberFormat="1" applyFont="1" applyFill="1" applyBorder="1" applyAlignment="1">
      <alignment horizontal="center" vertical="center"/>
    </xf>
    <xf numFmtId="0" fontId="48" fillId="19" borderId="16" xfId="0" applyNumberFormat="1" applyFont="1" applyFill="1" applyBorder="1" applyAlignment="1">
      <alignment horizontal="center" vertical="center"/>
    </xf>
    <xf numFmtId="0" fontId="48" fillId="16" borderId="16" xfId="0" applyNumberFormat="1" applyFont="1" applyFill="1" applyBorder="1" applyAlignment="1">
      <alignment horizontal="center" vertical="center"/>
    </xf>
    <xf numFmtId="0" fontId="48" fillId="16" borderId="15" xfId="0" applyNumberFormat="1" applyFont="1" applyFill="1" applyBorder="1" applyAlignment="1">
      <alignment horizontal="center" vertical="center"/>
    </xf>
    <xf numFmtId="0" fontId="48" fillId="16" borderId="106" xfId="0" applyNumberFormat="1" applyFont="1" applyFill="1" applyBorder="1" applyAlignment="1">
      <alignment horizontal="center" vertical="center"/>
    </xf>
    <xf numFmtId="0" fontId="48" fillId="16" borderId="105" xfId="0" applyNumberFormat="1" applyFont="1" applyFill="1" applyBorder="1" applyAlignment="1">
      <alignment horizontal="center" vertical="center"/>
    </xf>
    <xf numFmtId="0" fontId="48" fillId="16" borderId="104" xfId="0" applyNumberFormat="1" applyFont="1" applyFill="1" applyBorder="1" applyAlignment="1">
      <alignment horizontal="center" vertical="center"/>
    </xf>
    <xf numFmtId="0" fontId="48" fillId="16" borderId="10" xfId="0" applyNumberFormat="1" applyFont="1" applyFill="1" applyBorder="1" applyAlignment="1">
      <alignment horizontal="center" vertical="center"/>
    </xf>
    <xf numFmtId="0" fontId="48" fillId="17" borderId="106" xfId="0" applyNumberFormat="1" applyFont="1" applyFill="1" applyBorder="1" applyAlignment="1">
      <alignment horizontal="center" vertical="center"/>
    </xf>
    <xf numFmtId="0" fontId="48" fillId="17" borderId="15" xfId="0" applyNumberFormat="1" applyFont="1" applyFill="1" applyBorder="1" applyAlignment="1">
      <alignment horizontal="center" vertical="center"/>
    </xf>
    <xf numFmtId="0" fontId="48" fillId="18" borderId="16" xfId="0" applyNumberFormat="1" applyFont="1" applyFill="1" applyBorder="1" applyAlignment="1">
      <alignment horizontal="center" vertical="center"/>
    </xf>
    <xf numFmtId="0" fontId="48" fillId="18" borderId="15" xfId="0" applyNumberFormat="1" applyFont="1" applyFill="1" applyBorder="1" applyAlignment="1">
      <alignment horizontal="center" vertical="center"/>
    </xf>
    <xf numFmtId="0" fontId="48" fillId="18" borderId="106" xfId="0" applyNumberFormat="1" applyFont="1" applyFill="1" applyBorder="1" applyAlignment="1">
      <alignment horizontal="center" vertical="center"/>
    </xf>
    <xf numFmtId="0" fontId="48" fillId="18" borderId="104" xfId="0" applyNumberFormat="1" applyFont="1" applyFill="1" applyBorder="1" applyAlignment="1">
      <alignment horizontal="center" vertical="center"/>
    </xf>
    <xf numFmtId="0" fontId="48" fillId="17" borderId="24" xfId="0" applyNumberFormat="1" applyFont="1" applyFill="1" applyBorder="1" applyAlignment="1">
      <alignment horizontal="center" vertical="center"/>
    </xf>
    <xf numFmtId="0" fontId="48" fillId="17" borderId="71" xfId="0" applyNumberFormat="1" applyFont="1" applyFill="1" applyBorder="1" applyAlignment="1">
      <alignment horizontal="center" vertical="center"/>
    </xf>
    <xf numFmtId="0" fontId="48" fillId="17" borderId="42" xfId="0" applyNumberFormat="1" applyFont="1" applyFill="1" applyBorder="1" applyAlignment="1">
      <alignment horizontal="center" vertical="center"/>
    </xf>
    <xf numFmtId="0" fontId="48" fillId="17" borderId="23" xfId="0" applyNumberFormat="1" applyFont="1" applyFill="1" applyBorder="1" applyAlignment="1">
      <alignment horizontal="center" vertical="center"/>
    </xf>
    <xf numFmtId="0" fontId="48" fillId="18" borderId="23" xfId="0" applyNumberFormat="1" applyFont="1" applyFill="1" applyBorder="1" applyAlignment="1">
      <alignment horizontal="center" vertical="center"/>
    </xf>
    <xf numFmtId="0" fontId="48" fillId="18" borderId="17" xfId="0" applyNumberFormat="1" applyFont="1" applyFill="1" applyBorder="1" applyAlignment="1">
      <alignment horizontal="center" vertical="center"/>
    </xf>
    <xf numFmtId="0" fontId="48" fillId="18" borderId="42" xfId="0" applyNumberFormat="1" applyFont="1" applyFill="1" applyBorder="1" applyAlignment="1">
      <alignment horizontal="center" vertical="center"/>
    </xf>
    <xf numFmtId="0" fontId="0" fillId="19" borderId="6" xfId="0" applyNumberFormat="1" applyFill="1" applyBorder="1" applyAlignment="1">
      <alignment horizontal="center" vertical="center"/>
    </xf>
    <xf numFmtId="0" fontId="0" fillId="19" borderId="7" xfId="0" applyNumberFormat="1" applyFill="1" applyBorder="1" applyAlignment="1">
      <alignment horizontal="center" vertical="center"/>
    </xf>
    <xf numFmtId="0" fontId="0" fillId="19" borderId="8" xfId="0" applyNumberFormat="1" applyFill="1" applyBorder="1" applyAlignment="1">
      <alignment horizontal="center" vertical="center"/>
    </xf>
    <xf numFmtId="0" fontId="48" fillId="16" borderId="17" xfId="0" applyNumberFormat="1" applyFont="1" applyFill="1" applyBorder="1" applyAlignment="1">
      <alignment horizontal="center" vertical="center"/>
    </xf>
    <xf numFmtId="0" fontId="48" fillId="16" borderId="0" xfId="0" applyNumberFormat="1" applyFont="1" applyFill="1" applyAlignment="1">
      <alignment horizontal="center" vertical="center"/>
    </xf>
    <xf numFmtId="0" fontId="48" fillId="17" borderId="31" xfId="0" applyNumberFormat="1" applyFont="1" applyFill="1" applyBorder="1" applyAlignment="1">
      <alignment horizontal="center" vertical="center"/>
    </xf>
    <xf numFmtId="0" fontId="48" fillId="17" borderId="21" xfId="0" applyNumberFormat="1" applyFont="1" applyFill="1" applyBorder="1" applyAlignment="1">
      <alignment horizontal="center" vertical="center"/>
    </xf>
    <xf numFmtId="0" fontId="48" fillId="17" borderId="5" xfId="0" applyNumberFormat="1" applyFont="1" applyFill="1" applyBorder="1" applyAlignment="1">
      <alignment horizontal="center" vertical="center"/>
    </xf>
    <xf numFmtId="0" fontId="48" fillId="16" borderId="43" xfId="0" applyNumberFormat="1" applyFont="1" applyFill="1" applyBorder="1" applyAlignment="1">
      <alignment horizontal="center" vertical="center"/>
    </xf>
    <xf numFmtId="0" fontId="48" fillId="16" borderId="23" xfId="0" applyNumberFormat="1" applyFont="1" applyFill="1" applyBorder="1" applyAlignment="1">
      <alignment horizontal="center" vertical="center"/>
    </xf>
    <xf numFmtId="0" fontId="48" fillId="18" borderId="5" xfId="0" applyNumberFormat="1" applyFont="1" applyFill="1" applyBorder="1" applyAlignment="1">
      <alignment horizontal="center" vertical="center"/>
    </xf>
    <xf numFmtId="0" fontId="48" fillId="18" borderId="6" xfId="0" applyNumberFormat="1" applyFont="1" applyFill="1" applyBorder="1" applyAlignment="1">
      <alignment horizontal="center" vertical="center"/>
    </xf>
    <xf numFmtId="0" fontId="48" fillId="16" borderId="8" xfId="0" applyNumberFormat="1" applyFont="1" applyFill="1" applyBorder="1" applyAlignment="1">
      <alignment horizontal="center" vertical="center"/>
    </xf>
    <xf numFmtId="0" fontId="48" fillId="19" borderId="43" xfId="0" applyNumberFormat="1" applyFont="1" applyFill="1" applyBorder="1" applyAlignment="1">
      <alignment horizontal="center" vertical="center"/>
    </xf>
    <xf numFmtId="0" fontId="48" fillId="19" borderId="23" xfId="0" applyNumberFormat="1" applyFont="1" applyFill="1" applyBorder="1" applyAlignment="1">
      <alignment horizontal="center" vertical="center"/>
    </xf>
    <xf numFmtId="0" fontId="48" fillId="19" borderId="67" xfId="0" applyNumberFormat="1" applyFont="1" applyFill="1" applyBorder="1" applyAlignment="1">
      <alignment horizontal="center" vertical="center"/>
    </xf>
    <xf numFmtId="0" fontId="48" fillId="19" borderId="42" xfId="0" applyNumberFormat="1" applyFont="1" applyFill="1" applyBorder="1" applyAlignment="1">
      <alignment horizontal="center" vertical="center"/>
    </xf>
    <xf numFmtId="0" fontId="48" fillId="19" borderId="17" xfId="0" applyNumberFormat="1" applyFont="1" applyFill="1" applyBorder="1" applyAlignment="1">
      <alignment horizontal="center" vertical="center"/>
    </xf>
    <xf numFmtId="0" fontId="0" fillId="17" borderId="71" xfId="0" applyNumberFormat="1" applyFill="1" applyBorder="1" applyAlignment="1">
      <alignment horizontal="center" vertical="center"/>
    </xf>
    <xf numFmtId="0" fontId="0" fillId="17" borderId="37" xfId="0" applyNumberFormat="1" applyFill="1" applyBorder="1" applyAlignment="1">
      <alignment horizontal="center" vertical="center"/>
    </xf>
    <xf numFmtId="0" fontId="0" fillId="24" borderId="50" xfId="0" applyNumberFormat="1" applyFill="1" applyBorder="1" applyAlignment="1">
      <alignment horizontal="center" vertical="center"/>
    </xf>
    <xf numFmtId="0" fontId="0" fillId="24" borderId="51" xfId="0" applyNumberFormat="1" applyFill="1" applyBorder="1" applyAlignment="1">
      <alignment horizontal="center" vertical="center"/>
    </xf>
    <xf numFmtId="0" fontId="0" fillId="23" borderId="0" xfId="0" applyNumberFormat="1" applyFill="1" applyAlignment="1">
      <alignment horizontal="center" vertical="center"/>
    </xf>
    <xf numFmtId="0" fontId="0" fillId="0" borderId="51" xfId="0" applyNumberFormat="1" applyBorder="1" applyAlignment="1">
      <alignment horizontal="center" vertical="center"/>
    </xf>
    <xf numFmtId="0" fontId="0" fillId="0" borderId="58" xfId="0" applyNumberFormat="1" applyBorder="1" applyAlignment="1">
      <alignment horizontal="center" vertical="center"/>
    </xf>
    <xf numFmtId="0" fontId="0" fillId="16" borderId="51" xfId="0" applyNumberFormat="1" applyFill="1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/>
    </xf>
    <xf numFmtId="0" fontId="49" fillId="18" borderId="5" xfId="0" applyNumberFormat="1" applyFont="1" applyFill="1" applyBorder="1" applyAlignment="1">
      <alignment horizontal="center" vertical="center"/>
    </xf>
    <xf numFmtId="0" fontId="49" fillId="18" borderId="6" xfId="0" applyNumberFormat="1" applyFont="1" applyFill="1" applyBorder="1" applyAlignment="1">
      <alignment horizontal="center" vertical="center"/>
    </xf>
    <xf numFmtId="0" fontId="49" fillId="0" borderId="23" xfId="0" applyNumberFormat="1" applyFont="1" applyBorder="1" applyAlignment="1">
      <alignment horizontal="center" vertical="center"/>
    </xf>
    <xf numFmtId="0" fontId="49" fillId="0" borderId="110" xfId="0" applyNumberFormat="1" applyFont="1" applyBorder="1" applyAlignment="1">
      <alignment horizontal="center" vertical="center"/>
    </xf>
    <xf numFmtId="0" fontId="49" fillId="18" borderId="42" xfId="0" applyNumberFormat="1" applyFont="1" applyFill="1" applyBorder="1" applyAlignment="1">
      <alignment horizontal="center" vertical="center"/>
    </xf>
    <xf numFmtId="0" fontId="49" fillId="18" borderId="24" xfId="0" applyNumberFormat="1" applyFont="1" applyFill="1" applyBorder="1" applyAlignment="1">
      <alignment horizontal="center" vertical="center"/>
    </xf>
    <xf numFmtId="0" fontId="49" fillId="18" borderId="71" xfId="0" applyNumberFormat="1" applyFont="1" applyFill="1" applyBorder="1" applyAlignment="1">
      <alignment horizontal="center" vertical="center"/>
    </xf>
    <xf numFmtId="0" fontId="0" fillId="0" borderId="6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07" xfId="0" applyNumberFormat="1" applyBorder="1" applyAlignment="1">
      <alignment horizontal="center" vertical="center"/>
    </xf>
    <xf numFmtId="0" fontId="0" fillId="18" borderId="42" xfId="0" applyNumberFormat="1" applyFill="1" applyBorder="1" applyAlignment="1">
      <alignment horizontal="center" vertical="center"/>
    </xf>
    <xf numFmtId="0" fontId="0" fillId="18" borderId="23" xfId="0" applyNumberFormat="1" applyFill="1" applyBorder="1" applyAlignment="1">
      <alignment horizontal="center" vertical="center"/>
    </xf>
    <xf numFmtId="0" fontId="0" fillId="18" borderId="17" xfId="0" applyNumberFormat="1" applyFill="1" applyBorder="1" applyAlignment="1">
      <alignment horizontal="center" vertical="center"/>
    </xf>
    <xf numFmtId="0" fontId="0" fillId="0" borderId="70" xfId="0" applyNumberFormat="1" applyBorder="1" applyAlignment="1">
      <alignment horizontal="center" vertical="center"/>
    </xf>
    <xf numFmtId="0" fontId="0" fillId="17" borderId="3" xfId="0" applyNumberFormat="1" applyFill="1" applyBorder="1" applyAlignment="1">
      <alignment horizontal="center" vertical="center"/>
    </xf>
    <xf numFmtId="0" fontId="0" fillId="17" borderId="11" xfId="0" applyNumberFormat="1" applyFill="1" applyBorder="1" applyAlignment="1">
      <alignment horizontal="center" vertical="center"/>
    </xf>
    <xf numFmtId="0" fontId="0" fillId="0" borderId="63" xfId="0" applyNumberFormat="1" applyBorder="1" applyAlignment="1">
      <alignment horizontal="center" vertical="center"/>
    </xf>
    <xf numFmtId="0" fontId="0" fillId="0" borderId="109" xfId="0" applyNumberFormat="1" applyBorder="1" applyAlignment="1">
      <alignment horizontal="center" vertical="center"/>
    </xf>
    <xf numFmtId="0" fontId="49" fillId="17" borderId="101" xfId="0" applyNumberFormat="1" applyFont="1" applyFill="1" applyBorder="1" applyAlignment="1">
      <alignment horizontal="center" vertical="center"/>
    </xf>
    <xf numFmtId="0" fontId="49" fillId="17" borderId="103" xfId="0" applyNumberFormat="1" applyFont="1" applyFill="1" applyBorder="1" applyAlignment="1">
      <alignment horizontal="center" vertical="center"/>
    </xf>
    <xf numFmtId="0" fontId="0" fillId="16" borderId="101" xfId="0" applyNumberFormat="1" applyFill="1" applyBorder="1" applyAlignment="1">
      <alignment horizontal="center" vertical="center"/>
    </xf>
    <xf numFmtId="0" fontId="0" fillId="16" borderId="30" xfId="0" applyNumberFormat="1" applyFill="1" applyBorder="1" applyAlignment="1">
      <alignment horizontal="center" vertical="center"/>
    </xf>
    <xf numFmtId="0" fontId="0" fillId="16" borderId="103" xfId="0" applyNumberFormat="1" applyFill="1" applyBorder="1" applyAlignment="1">
      <alignment horizontal="center" vertical="center"/>
    </xf>
    <xf numFmtId="0" fontId="0" fillId="22" borderId="71" xfId="0" applyNumberFormat="1" applyFill="1" applyBorder="1" applyAlignment="1">
      <alignment horizontal="center" vertical="center"/>
    </xf>
    <xf numFmtId="0" fontId="0" fillId="22" borderId="37" xfId="0" applyNumberFormat="1" applyFill="1" applyBorder="1" applyAlignment="1">
      <alignment horizontal="center" vertical="center"/>
    </xf>
    <xf numFmtId="0" fontId="0" fillId="23" borderId="50" xfId="0" applyNumberFormat="1" applyFill="1" applyBorder="1" applyAlignment="1">
      <alignment horizontal="center" vertical="center"/>
    </xf>
    <xf numFmtId="0" fontId="0" fillId="23" borderId="51" xfId="0" applyNumberFormat="1" applyFill="1" applyBorder="1" applyAlignment="1">
      <alignment horizontal="center" vertical="center"/>
    </xf>
    <xf numFmtId="0" fontId="0" fillId="16" borderId="68" xfId="0" applyNumberFormat="1" applyFill="1" applyBorder="1" applyAlignment="1">
      <alignment horizontal="center" vertical="center"/>
    </xf>
    <xf numFmtId="0" fontId="0" fillId="16" borderId="74" xfId="0" applyNumberFormat="1" applyFill="1" applyBorder="1" applyAlignment="1">
      <alignment horizontal="center" vertical="center"/>
    </xf>
    <xf numFmtId="0" fontId="0" fillId="16" borderId="75" xfId="0" applyNumberFormat="1" applyFill="1" applyBorder="1" applyAlignment="1">
      <alignment horizontal="center" vertical="center"/>
    </xf>
    <xf numFmtId="0" fontId="63" fillId="0" borderId="0" xfId="0" applyNumberFormat="1" applyFont="1" applyAlignment="1">
      <alignment horizontal="center" vertical="center"/>
    </xf>
    <xf numFmtId="0" fontId="64" fillId="0" borderId="0" xfId="0" applyNumberFormat="1" applyFont="1" applyAlignment="1">
      <alignment horizontal="center" vertical="center"/>
    </xf>
    <xf numFmtId="0" fontId="46" fillId="16" borderId="65" xfId="0" applyNumberFormat="1" applyFont="1" applyFill="1" applyBorder="1" applyAlignment="1">
      <alignment horizontal="center" vertical="center"/>
    </xf>
    <xf numFmtId="0" fontId="46" fillId="16" borderId="1" xfId="0" applyNumberFormat="1" applyFont="1" applyFill="1" applyBorder="1" applyAlignment="1">
      <alignment horizontal="center" vertical="center"/>
    </xf>
    <xf numFmtId="0" fontId="46" fillId="16" borderId="100" xfId="0" applyNumberFormat="1" applyFont="1" applyFill="1" applyBorder="1" applyAlignment="1">
      <alignment horizontal="center" vertical="center"/>
    </xf>
    <xf numFmtId="0" fontId="0" fillId="18" borderId="68" xfId="0" applyNumberFormat="1" applyFill="1" applyBorder="1" applyAlignment="1">
      <alignment horizontal="center" vertical="center"/>
    </xf>
    <xf numFmtId="0" fontId="0" fillId="18" borderId="74" xfId="0" applyNumberFormat="1" applyFill="1" applyBorder="1" applyAlignment="1">
      <alignment horizontal="center" vertical="center"/>
    </xf>
    <xf numFmtId="0" fontId="0" fillId="18" borderId="75" xfId="0" applyNumberFormat="1" applyFill="1" applyBorder="1" applyAlignment="1">
      <alignment horizontal="center" vertical="center"/>
    </xf>
    <xf numFmtId="0" fontId="49" fillId="20" borderId="74" xfId="0" applyNumberFormat="1" applyFont="1" applyFill="1" applyBorder="1" applyAlignment="1">
      <alignment horizontal="left" vertical="center"/>
    </xf>
    <xf numFmtId="0" fontId="46" fillId="17" borderId="65" xfId="0" applyNumberFormat="1" applyFont="1" applyFill="1" applyBorder="1" applyAlignment="1">
      <alignment horizontal="center" vertical="center"/>
    </xf>
    <xf numFmtId="0" fontId="46" fillId="17" borderId="1" xfId="0" applyNumberFormat="1" applyFont="1" applyFill="1" applyBorder="1" applyAlignment="1">
      <alignment horizontal="center" vertical="center"/>
    </xf>
    <xf numFmtId="0" fontId="48" fillId="16" borderId="69" xfId="0" applyNumberFormat="1" applyFont="1" applyFill="1" applyBorder="1" applyAlignment="1">
      <alignment horizontal="center" vertical="center"/>
    </xf>
    <xf numFmtId="0" fontId="0" fillId="20" borderId="68" xfId="0" applyNumberFormat="1" applyFill="1" applyBorder="1" applyAlignment="1">
      <alignment horizontal="left" vertical="center"/>
    </xf>
    <xf numFmtId="0" fontId="0" fillId="20" borderId="74" xfId="0" applyNumberFormat="1" applyFill="1" applyBorder="1" applyAlignment="1">
      <alignment horizontal="left" vertical="center"/>
    </xf>
    <xf numFmtId="0" fontId="0" fillId="20" borderId="74" xfId="0" applyNumberFormat="1" applyFill="1" applyBorder="1" applyAlignment="1">
      <alignment horizontal="center" vertical="center"/>
    </xf>
    <xf numFmtId="0" fontId="45" fillId="0" borderId="2" xfId="0" applyNumberFormat="1" applyFont="1" applyBorder="1" applyAlignment="1">
      <alignment horizontal="left" vertical="center"/>
    </xf>
    <xf numFmtId="0" fontId="45" fillId="0" borderId="3" xfId="0" applyNumberFormat="1" applyFont="1" applyBorder="1" applyAlignment="1">
      <alignment horizontal="left" vertical="center"/>
    </xf>
    <xf numFmtId="0" fontId="32" fillId="0" borderId="3" xfId="0" applyNumberFormat="1" applyFont="1" applyBorder="1" applyAlignment="1">
      <alignment horizontal="center" vertical="center"/>
    </xf>
    <xf numFmtId="0" fontId="32" fillId="0" borderId="12" xfId="0" applyNumberFormat="1" applyFont="1" applyBorder="1" applyAlignment="1">
      <alignment horizontal="center" vertical="center"/>
    </xf>
    <xf numFmtId="0" fontId="45" fillId="0" borderId="9" xfId="0" applyNumberFormat="1" applyFont="1" applyBorder="1" applyAlignment="1">
      <alignment horizontal="left" vertical="center"/>
    </xf>
    <xf numFmtId="0" fontId="45" fillId="0" borderId="10" xfId="0" applyNumberFormat="1" applyFont="1" applyBorder="1" applyAlignment="1">
      <alignment horizontal="left" vertical="center"/>
    </xf>
    <xf numFmtId="0" fontId="45" fillId="0" borderId="10" xfId="0" applyNumberFormat="1" applyFont="1" applyBorder="1" applyAlignment="1">
      <alignment horizontal="center" vertical="center"/>
    </xf>
    <xf numFmtId="0" fontId="32" fillId="0" borderId="15" xfId="0" applyNumberFormat="1" applyFont="1" applyBorder="1" applyAlignment="1">
      <alignment horizontal="center" vertical="center"/>
    </xf>
    <xf numFmtId="0" fontId="32" fillId="0" borderId="72" xfId="0" applyNumberFormat="1" applyFont="1" applyBorder="1" applyAlignment="1">
      <alignment horizontal="center" vertical="center"/>
    </xf>
    <xf numFmtId="0" fontId="32" fillId="0" borderId="16" xfId="0" applyNumberFormat="1" applyFont="1" applyBorder="1" applyAlignment="1">
      <alignment horizontal="center" vertical="center"/>
    </xf>
    <xf numFmtId="0" fontId="32" fillId="0" borderId="10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12" xfId="0" applyNumberFormat="1" applyFont="1" applyBorder="1" applyAlignment="1">
      <alignment horizontal="center" vertical="center" wrapText="1"/>
    </xf>
    <xf numFmtId="0" fontId="45" fillId="0" borderId="4" xfId="0" applyNumberFormat="1" applyFont="1" applyBorder="1" applyAlignment="1">
      <alignment horizontal="left" vertical="center"/>
    </xf>
    <xf numFmtId="0" fontId="45" fillId="0" borderId="5" xfId="0" applyNumberFormat="1" applyFont="1" applyBorder="1" applyAlignment="1">
      <alignment horizontal="left" vertical="center"/>
    </xf>
    <xf numFmtId="0" fontId="32" fillId="0" borderId="5" xfId="0" applyNumberFormat="1" applyFont="1" applyBorder="1" applyAlignment="1">
      <alignment horizontal="center" vertical="center"/>
    </xf>
    <xf numFmtId="0" fontId="32" fillId="0" borderId="14" xfId="0" applyNumberFormat="1" applyFont="1" applyBorder="1" applyAlignment="1">
      <alignment horizontal="center" vertical="center"/>
    </xf>
    <xf numFmtId="0" fontId="45" fillId="0" borderId="9" xfId="0" applyNumberFormat="1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left" vertical="center"/>
    </xf>
    <xf numFmtId="0" fontId="8" fillId="0" borderId="10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12" xfId="0" applyNumberFormat="1" applyFont="1" applyBorder="1" applyAlignment="1">
      <alignment horizontal="center" vertical="center"/>
    </xf>
    <xf numFmtId="0" fontId="32" fillId="0" borderId="66" xfId="0" applyNumberFormat="1" applyFont="1" applyBorder="1" applyAlignment="1">
      <alignment horizontal="left" vertical="center" wrapText="1"/>
    </xf>
    <xf numFmtId="0" fontId="32" fillId="0" borderId="7" xfId="0" applyNumberFormat="1" applyFont="1" applyBorder="1" applyAlignment="1">
      <alignment horizontal="left" vertical="center" wrapText="1"/>
    </xf>
    <xf numFmtId="0" fontId="32" fillId="0" borderId="8" xfId="0" applyNumberFormat="1" applyFont="1" applyBorder="1" applyAlignment="1">
      <alignment horizontal="left" vertical="center" wrapText="1"/>
    </xf>
    <xf numFmtId="0" fontId="32" fillId="0" borderId="6" xfId="0" applyNumberFormat="1" applyFont="1" applyBorder="1" applyAlignment="1">
      <alignment horizontal="center" vertical="center" wrapText="1"/>
    </xf>
    <xf numFmtId="0" fontId="32" fillId="0" borderId="7" xfId="0" applyNumberFormat="1" applyFont="1" applyBorder="1" applyAlignment="1">
      <alignment horizontal="center" vertical="center" wrapText="1"/>
    </xf>
    <xf numFmtId="0" fontId="32" fillId="0" borderId="73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43" fillId="0" borderId="0" xfId="0" applyNumberFormat="1" applyFont="1" applyAlignment="1">
      <alignment horizontal="center" vertical="center"/>
    </xf>
    <xf numFmtId="0" fontId="44" fillId="0" borderId="0" xfId="0" applyNumberFormat="1" applyFont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 wrapText="1"/>
    </xf>
    <xf numFmtId="0" fontId="32" fillId="0" borderId="3" xfId="0" applyNumberFormat="1" applyFont="1" applyBorder="1" applyAlignment="1">
      <alignment horizontal="center" vertical="center" wrapText="1"/>
    </xf>
    <xf numFmtId="0" fontId="44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67" fillId="25" borderId="68" xfId="0" applyNumberFormat="1" applyFont="1" applyFill="1" applyBorder="1" applyAlignment="1">
      <alignment horizontal="left" vertical="center"/>
    </xf>
    <xf numFmtId="0" fontId="67" fillId="25" borderId="74" xfId="0" applyNumberFormat="1" applyFont="1" applyFill="1" applyBorder="1" applyAlignment="1">
      <alignment horizontal="left" vertical="center"/>
    </xf>
    <xf numFmtId="0" fontId="67" fillId="25" borderId="74" xfId="0" applyNumberFormat="1" applyFont="1" applyFill="1" applyBorder="1" applyAlignment="1">
      <alignment horizontal="center" vertical="center"/>
    </xf>
    <xf numFmtId="0" fontId="0" fillId="0" borderId="27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27" xfId="0" applyNumberFormat="1" applyFont="1" applyBorder="1" applyAlignment="1">
      <alignment horizontal="center" vertical="center"/>
    </xf>
    <xf numFmtId="0" fontId="49" fillId="18" borderId="103" xfId="0" applyNumberFormat="1" applyFont="1" applyFill="1" applyBorder="1" applyAlignment="1">
      <alignment horizontal="center" vertical="center"/>
    </xf>
    <xf numFmtId="0" fontId="49" fillId="18" borderId="51" xfId="0" applyNumberFormat="1" applyFont="1" applyFill="1" applyBorder="1" applyAlignment="1">
      <alignment horizontal="center" vertical="center"/>
    </xf>
    <xf numFmtId="0" fontId="49" fillId="18" borderId="101" xfId="0" applyNumberFormat="1" applyFont="1" applyFill="1" applyBorder="1" applyAlignment="1">
      <alignment horizontal="center" vertical="center"/>
    </xf>
    <xf numFmtId="0" fontId="49" fillId="18" borderId="104" xfId="0" applyNumberFormat="1" applyFont="1" applyFill="1" applyBorder="1" applyAlignment="1">
      <alignment horizontal="center" vertical="center"/>
    </xf>
    <xf numFmtId="0" fontId="49" fillId="18" borderId="52" xfId="0" applyNumberFormat="1" applyFont="1" applyFill="1" applyBorder="1" applyAlignment="1">
      <alignment horizontal="center" vertical="center"/>
    </xf>
    <xf numFmtId="0" fontId="49" fillId="18" borderId="106" xfId="0" applyNumberFormat="1" applyFont="1" applyFill="1" applyBorder="1" applyAlignment="1">
      <alignment horizontal="center" vertical="center"/>
    </xf>
    <xf numFmtId="0" fontId="49" fillId="19" borderId="103" xfId="0" applyNumberFormat="1" applyFont="1" applyFill="1" applyBorder="1" applyAlignment="1">
      <alignment horizontal="center" vertical="center"/>
    </xf>
    <xf numFmtId="0" fontId="49" fillId="19" borderId="51" xfId="0" applyNumberFormat="1" applyFont="1" applyFill="1" applyBorder="1" applyAlignment="1">
      <alignment horizontal="center" vertical="center"/>
    </xf>
    <xf numFmtId="0" fontId="49" fillId="19" borderId="101" xfId="0" applyNumberFormat="1" applyFont="1" applyFill="1" applyBorder="1" applyAlignment="1">
      <alignment horizontal="center" vertical="center"/>
    </xf>
    <xf numFmtId="0" fontId="49" fillId="19" borderId="104" xfId="0" applyNumberFormat="1" applyFont="1" applyFill="1" applyBorder="1" applyAlignment="1">
      <alignment horizontal="center" vertical="center"/>
    </xf>
    <xf numFmtId="0" fontId="49" fillId="19" borderId="52" xfId="0" applyNumberFormat="1" applyFont="1" applyFill="1" applyBorder="1" applyAlignment="1">
      <alignment horizontal="center" vertical="center"/>
    </xf>
    <xf numFmtId="0" fontId="49" fillId="19" borderId="106" xfId="0" applyNumberFormat="1" applyFont="1" applyFill="1" applyBorder="1" applyAlignment="1">
      <alignment horizontal="center" vertical="center"/>
    </xf>
    <xf numFmtId="0" fontId="46" fillId="18" borderId="4" xfId="0" applyNumberFormat="1" applyFont="1" applyFill="1" applyBorder="1" applyAlignment="1">
      <alignment horizontal="center" vertical="center"/>
    </xf>
    <xf numFmtId="0" fontId="46" fillId="18" borderId="5" xfId="0" applyNumberFormat="1" applyFont="1" applyFill="1" applyBorder="1" applyAlignment="1">
      <alignment horizontal="center" vertical="center"/>
    </xf>
    <xf numFmtId="0" fontId="48" fillId="16" borderId="24" xfId="0" applyNumberFormat="1" applyFont="1" applyFill="1" applyBorder="1" applyAlignment="1">
      <alignment horizontal="center" vertical="center"/>
    </xf>
    <xf numFmtId="0" fontId="48" fillId="17" borderId="51" xfId="0" applyNumberFormat="1" applyFont="1" applyFill="1" applyBorder="1" applyAlignment="1">
      <alignment horizontal="center" vertical="center"/>
    </xf>
    <xf numFmtId="0" fontId="49" fillId="16" borderId="74" xfId="0" applyNumberFormat="1" applyFont="1" applyFill="1" applyBorder="1" applyAlignment="1">
      <alignment horizontal="center" vertical="center"/>
    </xf>
    <xf numFmtId="0" fontId="48" fillId="18" borderId="51" xfId="0" applyNumberFormat="1" applyFont="1" applyFill="1" applyBorder="1" applyAlignment="1">
      <alignment horizontal="center" vertical="center"/>
    </xf>
    <xf numFmtId="0" fontId="49" fillId="16" borderId="68" xfId="0" applyNumberFormat="1" applyFont="1" applyFill="1" applyBorder="1" applyAlignment="1">
      <alignment horizontal="center" vertical="center"/>
    </xf>
    <xf numFmtId="0" fontId="49" fillId="16" borderId="69" xfId="0" applyNumberFormat="1" applyFont="1" applyFill="1" applyBorder="1" applyAlignment="1">
      <alignment horizontal="center" vertical="center"/>
    </xf>
    <xf numFmtId="0" fontId="48" fillId="17" borderId="103" xfId="0" applyNumberFormat="1" applyFont="1" applyFill="1" applyBorder="1" applyAlignment="1">
      <alignment horizontal="center" vertical="center"/>
    </xf>
    <xf numFmtId="0" fontId="49" fillId="17" borderId="69" xfId="0" applyNumberFormat="1" applyFont="1" applyFill="1" applyBorder="1" applyAlignment="1">
      <alignment horizontal="center" vertical="center"/>
    </xf>
    <xf numFmtId="0" fontId="49" fillId="19" borderId="17" xfId="0" applyNumberFormat="1" applyFont="1" applyFill="1" applyBorder="1" applyAlignment="1">
      <alignment horizontal="center" vertical="center"/>
    </xf>
    <xf numFmtId="0" fontId="49" fillId="19" borderId="0" xfId="0" applyNumberFormat="1" applyFont="1" applyFill="1" applyAlignment="1">
      <alignment horizontal="center" vertical="center"/>
    </xf>
    <xf numFmtId="0" fontId="49" fillId="19" borderId="29" xfId="0" applyNumberFormat="1" applyFont="1" applyFill="1" applyBorder="1" applyAlignment="1">
      <alignment horizontal="center" vertical="center"/>
    </xf>
    <xf numFmtId="0" fontId="0" fillId="16" borderId="3" xfId="0" applyNumberFormat="1" applyFill="1" applyBorder="1" applyAlignment="1">
      <alignment horizontal="center" vertical="center"/>
    </xf>
    <xf numFmtId="0" fontId="65" fillId="19" borderId="21" xfId="0" applyNumberFormat="1" applyFont="1" applyFill="1" applyBorder="1" applyAlignment="1">
      <alignment horizontal="center" vertical="center"/>
    </xf>
    <xf numFmtId="0" fontId="65" fillId="17" borderId="21" xfId="0" applyNumberFormat="1" applyFont="1" applyFill="1" applyBorder="1" applyAlignment="1">
      <alignment horizontal="center" vertical="center"/>
    </xf>
    <xf numFmtId="0" fontId="49" fillId="17" borderId="74" xfId="0" applyNumberFormat="1" applyFont="1" applyFill="1" applyBorder="1" applyAlignment="1">
      <alignment horizontal="center" vertical="center"/>
    </xf>
    <xf numFmtId="0" fontId="48" fillId="18" borderId="103" xfId="0" applyNumberFormat="1" applyFont="1" applyFill="1" applyBorder="1" applyAlignment="1">
      <alignment horizontal="center" vertical="center"/>
    </xf>
    <xf numFmtId="0" fontId="48" fillId="18" borderId="101" xfId="0" applyNumberFormat="1" applyFont="1" applyFill="1" applyBorder="1" applyAlignment="1">
      <alignment horizontal="center" vertical="center"/>
    </xf>
    <xf numFmtId="0" fontId="48" fillId="19" borderId="5" xfId="0" applyNumberFormat="1" applyFont="1" applyFill="1" applyBorder="1" applyAlignment="1">
      <alignment horizontal="center" vertical="center"/>
    </xf>
    <xf numFmtId="0" fontId="49" fillId="19" borderId="18" xfId="0" applyNumberFormat="1" applyFont="1" applyFill="1" applyBorder="1" applyAlignment="1">
      <alignment horizontal="center" vertical="center"/>
    </xf>
    <xf numFmtId="0" fontId="49" fillId="19" borderId="19" xfId="0" applyNumberFormat="1" applyFont="1" applyFill="1" applyBorder="1" applyAlignment="1">
      <alignment horizontal="center" vertical="center"/>
    </xf>
    <xf numFmtId="0" fontId="48" fillId="19" borderId="1" xfId="0" applyNumberFormat="1" applyFont="1" applyFill="1" applyBorder="1" applyAlignment="1">
      <alignment horizontal="center" vertical="center"/>
    </xf>
    <xf numFmtId="0" fontId="48" fillId="21" borderId="1" xfId="0" applyNumberFormat="1" applyFont="1" applyFill="1" applyBorder="1" applyAlignment="1">
      <alignment horizontal="center" vertical="center"/>
    </xf>
    <xf numFmtId="0" fontId="49" fillId="0" borderId="100" xfId="0" applyNumberFormat="1" applyFont="1" applyBorder="1" applyAlignment="1">
      <alignment horizontal="center" vertical="center"/>
    </xf>
    <xf numFmtId="0" fontId="49" fillId="0" borderId="22" xfId="0" applyNumberFormat="1" applyFont="1" applyBorder="1" applyAlignment="1">
      <alignment horizontal="center" vertical="center"/>
    </xf>
    <xf numFmtId="0" fontId="49" fillId="0" borderId="105" xfId="0" applyNumberFormat="1" applyFont="1" applyBorder="1" applyAlignment="1">
      <alignment horizontal="center" vertical="center"/>
    </xf>
    <xf numFmtId="0" fontId="49" fillId="0" borderId="107" xfId="0" applyNumberFormat="1" applyFont="1" applyBorder="1" applyAlignment="1">
      <alignment horizontal="center" vertical="center"/>
    </xf>
    <xf numFmtId="0" fontId="0" fillId="0" borderId="108" xfId="0" applyNumberFormat="1" applyBorder="1" applyAlignment="1">
      <alignment horizontal="center" vertical="center"/>
    </xf>
    <xf numFmtId="0" fontId="0" fillId="0" borderId="105" xfId="0" applyNumberFormat="1" applyBorder="1" applyAlignment="1">
      <alignment horizontal="center" vertical="center"/>
    </xf>
    <xf numFmtId="0" fontId="0" fillId="19" borderId="50" xfId="0" applyNumberFormat="1" applyFill="1" applyBorder="1" applyAlignment="1">
      <alignment horizontal="center" vertical="center"/>
    </xf>
    <xf numFmtId="0" fontId="0" fillId="19" borderId="51" xfId="0" applyNumberFormat="1" applyFill="1" applyBorder="1" applyAlignment="1">
      <alignment horizontal="center" vertical="center"/>
    </xf>
    <xf numFmtId="0" fontId="49" fillId="19" borderId="65" xfId="0" applyNumberFormat="1" applyFont="1" applyFill="1" applyBorder="1" applyAlignment="1">
      <alignment horizontal="center" vertical="center"/>
    </xf>
    <xf numFmtId="0" fontId="49" fillId="19" borderId="1" xfId="0" applyNumberFormat="1" applyFont="1" applyFill="1" applyBorder="1" applyAlignment="1">
      <alignment horizontal="center" vertical="center"/>
    </xf>
    <xf numFmtId="0" fontId="49" fillId="19" borderId="70" xfId="0" applyNumberFormat="1" applyFont="1" applyFill="1" applyBorder="1" applyAlignment="1">
      <alignment horizontal="center" vertical="center"/>
    </xf>
    <xf numFmtId="0" fontId="49" fillId="17" borderId="3" xfId="0" applyNumberFormat="1" applyFont="1" applyFill="1" applyBorder="1" applyAlignment="1">
      <alignment horizontal="center" vertical="center"/>
    </xf>
    <xf numFmtId="0" fontId="49" fillId="17" borderId="11" xfId="0" applyNumberFormat="1" applyFont="1" applyFill="1" applyBorder="1" applyAlignment="1">
      <alignment horizontal="center" vertical="center"/>
    </xf>
    <xf numFmtId="0" fontId="49" fillId="20" borderId="74" xfId="0" applyNumberFormat="1" applyFont="1" applyFill="1" applyBorder="1" applyAlignment="1">
      <alignment horizontal="right" vertical="center"/>
    </xf>
    <xf numFmtId="0" fontId="49" fillId="20" borderId="74" xfId="0" applyNumberFormat="1" applyFont="1" applyFill="1" applyBorder="1" applyAlignment="1">
      <alignment horizontal="center" vertical="center"/>
    </xf>
    <xf numFmtId="0" fontId="47" fillId="0" borderId="0" xfId="0" applyNumberFormat="1" applyFont="1" applyAlignment="1">
      <alignment horizontal="center" vertical="center"/>
    </xf>
    <xf numFmtId="0" fontId="48" fillId="0" borderId="0" xfId="0" applyNumberFormat="1" applyFont="1" applyAlignment="1">
      <alignment horizontal="center" vertical="center"/>
    </xf>
    <xf numFmtId="0" fontId="36" fillId="0" borderId="52" xfId="0" applyNumberFormat="1" applyFont="1" applyBorder="1" applyAlignment="1">
      <alignment horizontal="right" vertical="center"/>
    </xf>
    <xf numFmtId="0" fontId="36" fillId="0" borderId="19" xfId="0" applyNumberFormat="1" applyFont="1" applyBorder="1" applyAlignment="1">
      <alignment horizontal="right" vertical="center"/>
    </xf>
    <xf numFmtId="0" fontId="36" fillId="0" borderId="51" xfId="0" applyNumberFormat="1" applyFont="1" applyBorder="1" applyAlignment="1">
      <alignment horizontal="left" vertical="center" wrapText="1"/>
    </xf>
    <xf numFmtId="0" fontId="36" fillId="0" borderId="58" xfId="0" applyNumberFormat="1" applyFont="1" applyBorder="1" applyAlignment="1">
      <alignment horizontal="left" vertical="center" wrapText="1"/>
    </xf>
    <xf numFmtId="0" fontId="36" fillId="0" borderId="0" xfId="0" applyNumberFormat="1" applyFont="1" applyAlignment="1">
      <alignment horizontal="left" vertical="center" wrapText="1"/>
    </xf>
    <xf numFmtId="0" fontId="36" fillId="0" borderId="29" xfId="0" applyNumberFormat="1" applyFont="1" applyBorder="1" applyAlignment="1">
      <alignment horizontal="left" vertical="center" wrapText="1"/>
    </xf>
    <xf numFmtId="0" fontId="33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horizontal="right" vertical="center"/>
    </xf>
    <xf numFmtId="0" fontId="36" fillId="0" borderId="29" xfId="0" applyNumberFormat="1" applyFont="1" applyBorder="1" applyAlignment="1">
      <alignment horizontal="right" vertical="center"/>
    </xf>
    <xf numFmtId="0" fontId="23" fillId="0" borderId="59" xfId="0" applyNumberFormat="1" applyFont="1" applyBorder="1" applyAlignment="1">
      <alignment horizontal="left" vertical="top" wrapText="1"/>
    </xf>
    <xf numFmtId="0" fontId="23" fillId="0" borderId="0" xfId="0" applyNumberFormat="1" applyFont="1" applyAlignment="1">
      <alignment horizontal="left" vertical="top" wrapText="1"/>
    </xf>
    <xf numFmtId="0" fontId="23" fillId="0" borderId="62" xfId="0" applyNumberFormat="1" applyFont="1" applyBorder="1" applyAlignment="1">
      <alignment horizontal="left" vertical="top" wrapText="1"/>
    </xf>
    <xf numFmtId="0" fontId="23" fillId="0" borderId="60" xfId="0" applyNumberFormat="1" applyFont="1" applyBorder="1" applyAlignment="1">
      <alignment horizontal="left" vertical="top" wrapText="1"/>
    </xf>
    <xf numFmtId="0" fontId="23" fillId="0" borderId="61" xfId="0" applyNumberFormat="1" applyFont="1" applyBorder="1" applyAlignment="1">
      <alignment horizontal="left" vertical="top" wrapText="1"/>
    </xf>
    <xf numFmtId="0" fontId="23" fillId="0" borderId="56" xfId="0" applyNumberFormat="1" applyFont="1" applyBorder="1" applyAlignment="1">
      <alignment horizontal="left" vertical="top" wrapText="1"/>
    </xf>
    <xf numFmtId="0" fontId="23" fillId="0" borderId="54" xfId="0" applyNumberFormat="1" applyFont="1" applyBorder="1" applyAlignment="1">
      <alignment horizontal="center" vertical="top" wrapText="1"/>
    </xf>
    <xf numFmtId="0" fontId="23" fillId="0" borderId="53" xfId="0" applyNumberFormat="1" applyFont="1" applyBorder="1" applyAlignment="1">
      <alignment horizontal="center" vertical="top" wrapText="1"/>
    </xf>
    <xf numFmtId="0" fontId="28" fillId="0" borderId="59" xfId="0" applyNumberFormat="1" applyFont="1" applyBorder="1" applyAlignment="1">
      <alignment horizontal="left" vertical="top" wrapText="1"/>
    </xf>
    <xf numFmtId="0" fontId="28" fillId="0" borderId="0" xfId="0" applyNumberFormat="1" applyFont="1" applyAlignment="1">
      <alignment horizontal="left" vertical="top" wrapText="1"/>
    </xf>
    <xf numFmtId="0" fontId="28" fillId="0" borderId="62" xfId="0" applyNumberFormat="1" applyFont="1" applyBorder="1" applyAlignment="1">
      <alignment horizontal="left" vertical="top" wrapText="1"/>
    </xf>
    <xf numFmtId="0" fontId="0" fillId="0" borderId="3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 wrapText="1"/>
    </xf>
    <xf numFmtId="0" fontId="0" fillId="0" borderId="22" xfId="0" applyNumberFormat="1" applyBorder="1" applyAlignment="1">
      <alignment horizontal="center" vertical="center" wrapText="1"/>
    </xf>
    <xf numFmtId="0" fontId="0" fillId="0" borderId="25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23" xfId="0" applyNumberFormat="1" applyBorder="1" applyAlignment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28" xfId="0" applyNumberForma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center" vertical="center" wrapText="1"/>
    </xf>
    <xf numFmtId="0" fontId="12" fillId="0" borderId="5" xfId="0" applyNumberFormat="1" applyFont="1" applyBorder="1" applyAlignment="1">
      <alignment horizontal="center" vertical="center" wrapText="1"/>
    </xf>
    <xf numFmtId="0" fontId="13" fillId="0" borderId="3" xfId="0" applyNumberFormat="1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 wrapText="1"/>
    </xf>
    <xf numFmtId="0" fontId="12" fillId="0" borderId="6" xfId="0" applyNumberFormat="1" applyFont="1" applyBorder="1" applyAlignment="1">
      <alignment horizontal="center" vertical="center" wrapText="1"/>
    </xf>
    <xf numFmtId="0" fontId="12" fillId="8" borderId="5" xfId="0" applyNumberFormat="1" applyFont="1" applyFill="1" applyBorder="1" applyAlignment="1">
      <alignment horizontal="center" vertical="center"/>
    </xf>
    <xf numFmtId="0" fontId="12" fillId="8" borderId="3" xfId="0" applyNumberFormat="1" applyFont="1" applyFill="1" applyBorder="1" applyAlignment="1">
      <alignment horizontal="center" vertical="center"/>
    </xf>
    <xf numFmtId="0" fontId="12" fillId="8" borderId="12" xfId="0" applyNumberFormat="1" applyFont="1" applyFill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12" xfId="0" applyNumberFormat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2" fillId="0" borderId="30" xfId="0" applyNumberFormat="1" applyFont="1" applyBorder="1" applyAlignment="1">
      <alignment horizontal="center" vertical="center" wrapText="1"/>
    </xf>
    <xf numFmtId="0" fontId="12" fillId="0" borderId="24" xfId="0" applyNumberFormat="1" applyFont="1" applyBorder="1" applyAlignment="1">
      <alignment horizontal="center" vertical="center" wrapText="1"/>
    </xf>
    <xf numFmtId="0" fontId="0" fillId="8" borderId="2" xfId="0" applyNumberFormat="1" applyFill="1" applyBorder="1" applyAlignment="1">
      <alignment horizontal="center" vertical="center"/>
    </xf>
    <xf numFmtId="0" fontId="0" fillId="8" borderId="3" xfId="0" applyNumberFormat="1" applyFill="1" applyBorder="1" applyAlignment="1">
      <alignment horizontal="center" vertical="center"/>
    </xf>
    <xf numFmtId="0" fontId="0" fillId="8" borderId="12" xfId="0" applyNumberFormat="1" applyFill="1" applyBorder="1" applyAlignment="1">
      <alignment horizontal="center" vertical="center"/>
    </xf>
    <xf numFmtId="0" fontId="0" fillId="8" borderId="4" xfId="0" applyNumberFormat="1" applyFill="1" applyBorder="1" applyAlignment="1">
      <alignment horizontal="center" vertical="center"/>
    </xf>
    <xf numFmtId="0" fontId="0" fillId="8" borderId="5" xfId="0" applyNumberFormat="1" applyFill="1" applyBorder="1" applyAlignment="1">
      <alignment horizontal="center" vertical="center"/>
    </xf>
    <xf numFmtId="0" fontId="0" fillId="8" borderId="14" xfId="0" applyNumberFormat="1" applyFill="1" applyBorder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0" fillId="0" borderId="108" xfId="0" applyNumberFormat="1" applyBorder="1" applyAlignment="1" applyProtection="1">
      <alignment horizontal="center" vertical="center"/>
    </xf>
    <xf numFmtId="0" fontId="0" fillId="0" borderId="105" xfId="0" applyNumberFormat="1" applyBorder="1" applyAlignment="1" applyProtection="1">
      <alignment horizontal="center" vertical="center"/>
    </xf>
    <xf numFmtId="0" fontId="0" fillId="0" borderId="107" xfId="0" applyNumberFormat="1" applyBorder="1" applyAlignment="1" applyProtection="1">
      <alignment horizontal="center" vertical="center"/>
    </xf>
    <xf numFmtId="0" fontId="10" fillId="0" borderId="158" xfId="0" applyNumberFormat="1" applyFont="1" applyBorder="1" applyAlignment="1" applyProtection="1">
      <alignment horizontal="center" vertical="center" wrapText="1"/>
    </xf>
    <xf numFmtId="0" fontId="10" fillId="0" borderId="150" xfId="0" applyNumberFormat="1" applyFont="1" applyBorder="1" applyAlignment="1" applyProtection="1">
      <alignment horizontal="center" vertical="center" wrapText="1"/>
    </xf>
    <xf numFmtId="0" fontId="10" fillId="0" borderId="153" xfId="0" applyNumberFormat="1" applyFont="1" applyBorder="1" applyAlignment="1" applyProtection="1">
      <alignment horizontal="center" vertical="center" wrapText="1"/>
    </xf>
    <xf numFmtId="0" fontId="59" fillId="0" borderId="0" xfId="0" applyNumberFormat="1" applyFont="1" applyAlignment="1" applyProtection="1">
      <alignment horizontal="center" vertical="center"/>
    </xf>
    <xf numFmtId="0" fontId="0" fillId="0" borderId="50" xfId="0" applyNumberFormat="1" applyBorder="1" applyAlignment="1" applyProtection="1">
      <alignment horizontal="right" vertical="center"/>
    </xf>
    <xf numFmtId="0" fontId="0" fillId="0" borderId="51" xfId="0" applyNumberFormat="1" applyBorder="1" applyAlignment="1" applyProtection="1">
      <alignment horizontal="right" vertical="center"/>
    </xf>
    <xf numFmtId="0" fontId="0" fillId="0" borderId="58" xfId="0" applyNumberFormat="1" applyBorder="1" applyAlignment="1" applyProtection="1">
      <alignment horizontal="right" vertical="center"/>
    </xf>
    <xf numFmtId="0" fontId="0" fillId="0" borderId="27" xfId="0" applyNumberFormat="1" applyBorder="1" applyAlignment="1" applyProtection="1">
      <alignment horizontal="right" vertical="center"/>
    </xf>
    <xf numFmtId="0" fontId="0" fillId="0" borderId="0" xfId="0" applyNumberFormat="1" applyBorder="1" applyAlignment="1" applyProtection="1">
      <alignment horizontal="right" vertical="center"/>
    </xf>
    <xf numFmtId="0" fontId="0" fillId="0" borderId="29" xfId="0" applyNumberFormat="1" applyBorder="1" applyAlignment="1" applyProtection="1">
      <alignment horizontal="right" vertical="center"/>
    </xf>
    <xf numFmtId="0" fontId="74" fillId="0" borderId="27" xfId="0" applyNumberFormat="1" applyFont="1" applyBorder="1" applyAlignment="1" applyProtection="1">
      <alignment horizontal="right" vertical="center"/>
    </xf>
    <xf numFmtId="0" fontId="10" fillId="0" borderId="102" xfId="0" applyNumberFormat="1" applyFont="1" applyBorder="1" applyAlignment="1" applyProtection="1">
      <alignment horizontal="center" vertical="center" wrapText="1"/>
    </xf>
    <xf numFmtId="0" fontId="10" fillId="0" borderId="66" xfId="0" applyNumberFormat="1" applyFont="1" applyBorder="1" applyAlignment="1" applyProtection="1">
      <alignment horizontal="center" vertical="center" wrapText="1"/>
    </xf>
    <xf numFmtId="0" fontId="10" fillId="0" borderId="155" xfId="0" applyNumberFormat="1" applyFont="1" applyBorder="1" applyAlignment="1" applyProtection="1">
      <alignment horizontal="center" vertical="center" wrapText="1"/>
    </xf>
    <xf numFmtId="0" fontId="10" fillId="0" borderId="112" xfId="0" applyNumberFormat="1" applyFont="1" applyBorder="1" applyAlignment="1" applyProtection="1">
      <alignment horizontal="center" vertical="center" wrapText="1"/>
    </xf>
    <xf numFmtId="0" fontId="10" fillId="0" borderId="113" xfId="0" applyNumberFormat="1" applyFont="1" applyBorder="1" applyAlignment="1" applyProtection="1">
      <alignment horizontal="center" vertical="center" wrapText="1"/>
    </xf>
    <xf numFmtId="0" fontId="74" fillId="0" borderId="50" xfId="0" applyNumberFormat="1" applyFont="1" applyBorder="1" applyAlignment="1" applyProtection="1">
      <alignment horizontal="right" vertical="center"/>
    </xf>
    <xf numFmtId="0" fontId="74" fillId="0" borderId="18" xfId="0" applyNumberFormat="1" applyFont="1" applyBorder="1" applyAlignment="1" applyProtection="1">
      <alignment horizontal="right" vertical="center"/>
    </xf>
    <xf numFmtId="0" fontId="0" fillId="0" borderId="52" xfId="0" applyNumberFormat="1" applyBorder="1" applyAlignment="1" applyProtection="1">
      <alignment horizontal="right" vertical="center"/>
    </xf>
    <xf numFmtId="0" fontId="0" fillId="0" borderId="19" xfId="0" applyNumberFormat="1" applyBorder="1" applyAlignment="1" applyProtection="1">
      <alignment horizontal="right" vertical="center"/>
    </xf>
    <xf numFmtId="0" fontId="0" fillId="0" borderId="50" xfId="0" applyNumberFormat="1" applyBorder="1" applyAlignment="1" applyProtection="1">
      <alignment horizontal="center" vertical="center"/>
    </xf>
    <xf numFmtId="0" fontId="0" fillId="0" borderId="51" xfId="0" applyNumberFormat="1" applyBorder="1" applyAlignment="1" applyProtection="1">
      <alignment horizontal="center" vertical="center"/>
    </xf>
    <xf numFmtId="0" fontId="0" fillId="0" borderId="58" xfId="0" applyNumberFormat="1" applyBorder="1" applyAlignment="1" applyProtection="1">
      <alignment horizontal="center" vertical="center"/>
    </xf>
    <xf numFmtId="0" fontId="0" fillId="0" borderId="27" xfId="0" applyNumberFormat="1" applyBorder="1" applyAlignment="1" applyProtection="1">
      <alignment horizontal="center" vertical="center"/>
    </xf>
    <xf numFmtId="0" fontId="0" fillId="0" borderId="0" xfId="0" applyNumberFormat="1" applyBorder="1" applyAlignment="1" applyProtection="1">
      <alignment horizontal="center" vertical="center"/>
    </xf>
    <xf numFmtId="0" fontId="0" fillId="0" borderId="29" xfId="0" applyNumberFormat="1" applyBorder="1" applyAlignment="1" applyProtection="1">
      <alignment horizontal="center" vertical="center"/>
    </xf>
    <xf numFmtId="0" fontId="10" fillId="0" borderId="18" xfId="0" applyNumberFormat="1" applyFont="1" applyBorder="1" applyAlignment="1" applyProtection="1">
      <alignment horizontal="center" vertical="center" wrapText="1"/>
    </xf>
    <xf numFmtId="0" fontId="10" fillId="0" borderId="52" xfId="0" applyNumberFormat="1" applyFont="1" applyBorder="1" applyAlignment="1" applyProtection="1">
      <alignment horizontal="center" vertical="center" wrapText="1"/>
    </xf>
    <xf numFmtId="0" fontId="10" fillId="0" borderId="19" xfId="0" applyNumberFormat="1" applyFont="1" applyBorder="1" applyAlignment="1" applyProtection="1">
      <alignment horizontal="center" vertical="center" wrapText="1"/>
    </xf>
    <xf numFmtId="0" fontId="74" fillId="0" borderId="50" xfId="0" applyNumberFormat="1" applyFont="1" applyBorder="1" applyAlignment="1" applyProtection="1">
      <alignment horizontal="left" vertical="center"/>
    </xf>
    <xf numFmtId="0" fontId="74" fillId="0" borderId="51" xfId="0" applyNumberFormat="1" applyFont="1" applyBorder="1" applyAlignment="1" applyProtection="1">
      <alignment horizontal="left" vertical="center"/>
    </xf>
    <xf numFmtId="0" fontId="74" fillId="0" borderId="58" xfId="0" applyNumberFormat="1" applyFont="1" applyBorder="1" applyAlignment="1" applyProtection="1">
      <alignment horizontal="left" vertical="center"/>
    </xf>
    <xf numFmtId="0" fontId="3" fillId="0" borderId="68" xfId="0" applyNumberFormat="1" applyFont="1" applyBorder="1" applyAlignment="1" applyProtection="1">
      <alignment horizontal="center" vertical="center"/>
    </xf>
    <xf numFmtId="0" fontId="3" fillId="0" borderId="74" xfId="0" applyNumberFormat="1" applyFont="1" applyBorder="1" applyAlignment="1" applyProtection="1">
      <alignment horizontal="center" vertical="center"/>
    </xf>
    <xf numFmtId="0" fontId="3" fillId="0" borderId="75" xfId="0" applyNumberFormat="1" applyFont="1" applyBorder="1" applyAlignment="1" applyProtection="1">
      <alignment horizontal="center" vertical="center"/>
    </xf>
    <xf numFmtId="0" fontId="3" fillId="0" borderId="51" xfId="0" applyNumberFormat="1" applyFont="1" applyBorder="1" applyAlignment="1" applyProtection="1">
      <alignment horizontal="center" vertical="center"/>
    </xf>
    <xf numFmtId="0" fontId="3" fillId="0" borderId="58" xfId="0" applyNumberFormat="1" applyFont="1" applyBorder="1" applyAlignment="1" applyProtection="1">
      <alignment horizontal="center" vertical="center"/>
    </xf>
    <xf numFmtId="0" fontId="74" fillId="0" borderId="68" xfId="0" applyNumberFormat="1" applyFont="1" applyBorder="1" applyAlignment="1" applyProtection="1">
      <alignment horizontal="center" vertical="center"/>
    </xf>
    <xf numFmtId="0" fontId="74" fillId="0" borderId="74" xfId="0" applyNumberFormat="1" applyFont="1" applyBorder="1" applyAlignment="1" applyProtection="1">
      <alignment horizontal="center" vertical="center"/>
    </xf>
    <xf numFmtId="0" fontId="18" fillId="0" borderId="0" xfId="0" applyNumberFormat="1" applyFont="1" applyAlignment="1" applyProtection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74" fillId="0" borderId="5" xfId="0" applyNumberFormat="1" applyFont="1" applyBorder="1" applyAlignment="1">
      <alignment horizontal="center" vertical="center"/>
    </xf>
    <xf numFmtId="0" fontId="12" fillId="3" borderId="50" xfId="0" applyNumberFormat="1" applyFont="1" applyFill="1" applyBorder="1" applyAlignment="1" applyProtection="1">
      <alignment horizontal="center" vertical="center" wrapText="1"/>
    </xf>
    <xf numFmtId="0" fontId="12" fillId="3" borderId="51" xfId="0" applyNumberFormat="1" applyFont="1" applyFill="1" applyBorder="1" applyAlignment="1" applyProtection="1">
      <alignment horizontal="center" vertical="center" wrapText="1"/>
    </xf>
    <xf numFmtId="0" fontId="12" fillId="3" borderId="27" xfId="0" applyNumberFormat="1" applyFont="1" applyFill="1" applyBorder="1" applyAlignment="1" applyProtection="1">
      <alignment horizontal="center" vertical="center" wrapText="1"/>
    </xf>
    <xf numFmtId="0" fontId="12" fillId="3" borderId="0" xfId="0" applyNumberFormat="1" applyFont="1" applyFill="1" applyAlignment="1" applyProtection="1">
      <alignment horizontal="center" vertical="center" wrapText="1"/>
    </xf>
    <xf numFmtId="0" fontId="11" fillId="26" borderId="0" xfId="0" applyNumberFormat="1" applyFont="1" applyFill="1" applyAlignment="1" applyProtection="1">
      <alignment horizontal="center" vertical="center"/>
    </xf>
    <xf numFmtId="0" fontId="3" fillId="12" borderId="4" xfId="0" applyNumberFormat="1" applyFont="1" applyFill="1" applyBorder="1" applyAlignment="1" applyProtection="1">
      <alignment horizontal="center" vertical="center"/>
    </xf>
    <xf numFmtId="0" fontId="3" fillId="12" borderId="6" xfId="0" applyNumberFormat="1" applyFont="1" applyFill="1" applyBorder="1" applyAlignment="1" applyProtection="1">
      <alignment horizontal="center" vertical="center"/>
    </xf>
    <xf numFmtId="0" fontId="3" fillId="12" borderId="112" xfId="0" applyNumberFormat="1" applyFont="1" applyFill="1" applyBorder="1" applyAlignment="1" applyProtection="1">
      <alignment horizontal="center" vertical="center"/>
    </xf>
    <xf numFmtId="0" fontId="3" fillId="12" borderId="173" xfId="0" applyNumberFormat="1" applyFont="1" applyFill="1" applyBorder="1" applyAlignment="1" applyProtection="1">
      <alignment horizontal="center" vertical="center"/>
    </xf>
    <xf numFmtId="0" fontId="3" fillId="12" borderId="28" xfId="0" applyNumberFormat="1" applyFont="1" applyFill="1" applyBorder="1" applyAlignment="1" applyProtection="1">
      <alignment horizontal="center" vertical="center"/>
    </xf>
    <xf numFmtId="0" fontId="74" fillId="12" borderId="66" xfId="0" applyNumberFormat="1" applyFont="1" applyFill="1" applyBorder="1" applyAlignment="1" applyProtection="1">
      <alignment vertical="center" wrapText="1"/>
    </xf>
    <xf numFmtId="0" fontId="0" fillId="12" borderId="7" xfId="0" applyNumberFormat="1" applyFill="1" applyBorder="1" applyProtection="1">
      <alignment vertical="center"/>
    </xf>
    <xf numFmtId="0" fontId="61" fillId="12" borderId="66" xfId="0" applyNumberFormat="1" applyFont="1" applyFill="1" applyBorder="1" applyAlignment="1" applyProtection="1">
      <alignment horizontal="left" vertical="center"/>
    </xf>
    <xf numFmtId="0" fontId="61" fillId="12" borderId="7" xfId="0" applyNumberFormat="1" applyFont="1" applyFill="1" applyBorder="1" applyAlignment="1" applyProtection="1">
      <alignment horizontal="left" vertical="center"/>
    </xf>
    <xf numFmtId="0" fontId="103" fillId="12" borderId="113" xfId="0" applyNumberFormat="1" applyFont="1" applyFill="1" applyBorder="1" applyAlignment="1" applyProtection="1">
      <alignment horizontal="left" vertical="center"/>
    </xf>
    <xf numFmtId="0" fontId="103" fillId="12" borderId="16" xfId="0" applyNumberFormat="1" applyFont="1" applyFill="1" applyBorder="1" applyAlignment="1" applyProtection="1">
      <alignment horizontal="left" vertical="center"/>
    </xf>
    <xf numFmtId="0" fontId="3" fillId="12" borderId="68" xfId="0" applyNumberFormat="1" applyFont="1" applyFill="1" applyBorder="1" applyAlignment="1" applyProtection="1">
      <alignment horizontal="center" vertical="center"/>
    </xf>
    <xf numFmtId="0" fontId="3" fillId="12" borderId="75" xfId="0" applyNumberFormat="1" applyFont="1" applyFill="1" applyBorder="1" applyAlignment="1" applyProtection="1">
      <alignment horizontal="center" vertical="center"/>
    </xf>
    <xf numFmtId="0" fontId="3" fillId="10" borderId="0" xfId="0" applyNumberFormat="1" applyFont="1" applyFill="1" applyAlignment="1" applyProtection="1">
      <alignment horizontal="center" vertical="center"/>
    </xf>
    <xf numFmtId="0" fontId="3" fillId="12" borderId="5" xfId="0" applyNumberFormat="1" applyFont="1" applyFill="1" applyBorder="1" applyAlignment="1" applyProtection="1">
      <alignment horizontal="center" vertical="center"/>
    </xf>
    <xf numFmtId="0" fontId="0" fillId="12" borderId="155" xfId="0" applyNumberFormat="1" applyFill="1" applyBorder="1" applyAlignment="1" applyProtection="1">
      <alignment horizontal="center" vertical="center"/>
    </xf>
    <xf numFmtId="0" fontId="0" fillId="12" borderId="102" xfId="0" applyNumberFormat="1" applyFill="1" applyBorder="1" applyAlignment="1" applyProtection="1">
      <alignment horizontal="center" vertical="center"/>
    </xf>
    <xf numFmtId="0" fontId="74" fillId="12" borderId="50" xfId="0" applyNumberFormat="1" applyFont="1" applyFill="1" applyBorder="1" applyAlignment="1" applyProtection="1">
      <alignment horizontal="center" vertical="center"/>
    </xf>
    <xf numFmtId="0" fontId="74" fillId="12" borderId="102" xfId="0" applyNumberFormat="1" applyFont="1" applyFill="1" applyBorder="1" applyAlignment="1" applyProtection="1">
      <alignment horizontal="center" vertical="center"/>
    </xf>
    <xf numFmtId="0" fontId="0" fillId="12" borderId="18" xfId="0" applyNumberFormat="1" applyFill="1" applyBorder="1" applyAlignment="1" applyProtection="1">
      <alignment horizontal="center" vertical="center"/>
    </xf>
    <xf numFmtId="0" fontId="0" fillId="12" borderId="5" xfId="0" applyNumberFormat="1" applyFill="1" applyBorder="1" applyAlignment="1" applyProtection="1">
      <alignment horizontal="center" vertical="center"/>
    </xf>
    <xf numFmtId="0" fontId="72" fillId="0" borderId="0" xfId="0" applyNumberFormat="1" applyFont="1" applyAlignment="1" applyProtection="1">
      <alignment horizontal="left" vertical="center"/>
    </xf>
    <xf numFmtId="0" fontId="61" fillId="12" borderId="65" xfId="0" applyNumberFormat="1" applyFont="1" applyFill="1" applyBorder="1" applyAlignment="1" applyProtection="1">
      <alignment horizontal="center" vertical="center"/>
    </xf>
    <xf numFmtId="0" fontId="61" fillId="12" borderId="70" xfId="0" applyNumberFormat="1" applyFont="1" applyFill="1" applyBorder="1" applyAlignment="1" applyProtection="1">
      <alignment horizontal="center" vertical="center"/>
    </xf>
    <xf numFmtId="0" fontId="61" fillId="12" borderId="101" xfId="0" applyNumberFormat="1" applyFont="1" applyFill="1" applyBorder="1" applyAlignment="1" applyProtection="1">
      <alignment horizontal="center" vertical="center"/>
    </xf>
    <xf numFmtId="0" fontId="61" fillId="12" borderId="103" xfId="0" applyNumberFormat="1" applyFont="1" applyFill="1" applyBorder="1" applyAlignment="1" applyProtection="1">
      <alignment horizontal="center" vertical="center"/>
    </xf>
    <xf numFmtId="0" fontId="61" fillId="12" borderId="63" xfId="0" applyNumberFormat="1" applyFont="1" applyFill="1" applyBorder="1" applyAlignment="1" applyProtection="1">
      <alignment horizontal="center" vertical="center"/>
    </xf>
    <xf numFmtId="0" fontId="61" fillId="12" borderId="12" xfId="0" applyNumberFormat="1" applyFont="1" applyFill="1" applyBorder="1" applyAlignment="1" applyProtection="1">
      <alignment horizontal="center" vertical="center"/>
    </xf>
    <xf numFmtId="0" fontId="12" fillId="3" borderId="183" xfId="0" applyNumberFormat="1" applyFont="1" applyFill="1" applyBorder="1" applyAlignment="1" applyProtection="1">
      <alignment horizontal="center" vertical="center"/>
    </xf>
    <xf numFmtId="0" fontId="12" fillId="3" borderId="184" xfId="0" applyNumberFormat="1" applyFont="1" applyFill="1" applyBorder="1" applyAlignment="1" applyProtection="1">
      <alignment horizontal="center" vertical="center"/>
    </xf>
    <xf numFmtId="0" fontId="12" fillId="3" borderId="185" xfId="0" applyNumberFormat="1" applyFont="1" applyFill="1" applyBorder="1" applyAlignment="1" applyProtection="1">
      <alignment horizontal="center" vertical="center"/>
    </xf>
    <xf numFmtId="0" fontId="61" fillId="12" borderId="186" xfId="0" applyNumberFormat="1" applyFont="1" applyFill="1" applyBorder="1" applyAlignment="1" applyProtection="1">
      <alignment horizontal="center" vertical="center"/>
    </xf>
    <xf numFmtId="0" fontId="61" fillId="12" borderId="184" xfId="0" applyNumberFormat="1" applyFont="1" applyFill="1" applyBorder="1" applyAlignment="1" applyProtection="1">
      <alignment horizontal="center" vertical="center"/>
    </xf>
    <xf numFmtId="0" fontId="61" fillId="12" borderId="187" xfId="0" applyNumberFormat="1" applyFont="1" applyFill="1" applyBorder="1" applyAlignment="1" applyProtection="1">
      <alignment horizontal="center" vertical="center"/>
    </xf>
    <xf numFmtId="0" fontId="3" fillId="12" borderId="92" xfId="0" applyNumberFormat="1" applyFont="1" applyFill="1" applyBorder="1" applyAlignment="1" applyProtection="1">
      <alignment horizontal="center" vertical="center" wrapText="1"/>
    </xf>
    <xf numFmtId="0" fontId="3" fillId="12" borderId="94" xfId="0" applyNumberFormat="1" applyFont="1" applyFill="1" applyBorder="1" applyAlignment="1" applyProtection="1">
      <alignment horizontal="center" vertical="center" wrapText="1"/>
    </xf>
    <xf numFmtId="0" fontId="74" fillId="0" borderId="0" xfId="0" applyNumberFormat="1" applyFon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0" fontId="59" fillId="0" borderId="0" xfId="0" applyNumberFormat="1" applyFont="1" applyAlignment="1">
      <alignment horizontal="center" vertical="center"/>
    </xf>
    <xf numFmtId="0" fontId="60" fillId="0" borderId="37" xfId="0" applyNumberFormat="1" applyFont="1" applyBorder="1" applyAlignment="1">
      <alignment horizontal="center" vertical="center"/>
    </xf>
    <xf numFmtId="0" fontId="60" fillId="0" borderId="7" xfId="0" applyNumberFormat="1" applyFont="1" applyBorder="1" applyAlignment="1">
      <alignment horizontal="center" vertical="center"/>
    </xf>
    <xf numFmtId="176" fontId="60" fillId="0" borderId="7" xfId="0" applyNumberFormat="1" applyFont="1" applyBorder="1" applyAlignment="1">
      <alignment horizontal="center" vertical="center"/>
    </xf>
    <xf numFmtId="0" fontId="22" fillId="0" borderId="5" xfId="0" applyNumberFormat="1" applyFont="1" applyBorder="1" applyAlignment="1">
      <alignment horizontal="center" vertical="center" wrapText="1"/>
    </xf>
    <xf numFmtId="0" fontId="22" fillId="0" borderId="6" xfId="0" applyNumberFormat="1" applyFont="1" applyBorder="1" applyAlignment="1">
      <alignment horizontal="center" vertical="center" wrapText="1"/>
    </xf>
    <xf numFmtId="0" fontId="22" fillId="0" borderId="67" xfId="0" applyNumberFormat="1" applyFont="1" applyBorder="1" applyAlignment="1">
      <alignment horizontal="center" vertical="center"/>
    </xf>
    <xf numFmtId="0" fontId="22" fillId="0" borderId="71" xfId="0" applyNumberFormat="1" applyFont="1" applyBorder="1" applyAlignment="1">
      <alignment horizontal="center" vertical="center"/>
    </xf>
    <xf numFmtId="0" fontId="22" fillId="0" borderId="21" xfId="0" applyNumberFormat="1" applyFont="1" applyBorder="1" applyAlignment="1">
      <alignment horizontal="center" vertical="center" wrapText="1"/>
    </xf>
    <xf numFmtId="0" fontId="22" fillId="0" borderId="24" xfId="0" applyNumberFormat="1" applyFont="1" applyBorder="1" applyAlignment="1">
      <alignment horizontal="center" vertical="center" wrapText="1"/>
    </xf>
    <xf numFmtId="0" fontId="0" fillId="0" borderId="197" xfId="0" applyNumberFormat="1" applyBorder="1" applyAlignment="1">
      <alignment horizontal="center" vertical="center"/>
    </xf>
    <xf numFmtId="0" fontId="0" fillId="0" borderId="198" xfId="0" applyNumberFormat="1" applyBorder="1" applyAlignment="1">
      <alignment horizontal="center" vertical="center"/>
    </xf>
    <xf numFmtId="0" fontId="22" fillId="0" borderId="21" xfId="0" applyNumberFormat="1" applyFont="1" applyBorder="1" applyAlignment="1">
      <alignment horizontal="center" vertical="center"/>
    </xf>
    <xf numFmtId="0" fontId="22" fillId="0" borderId="24" xfId="0" applyNumberFormat="1" applyFont="1" applyBorder="1" applyAlignment="1">
      <alignment horizontal="center" vertical="center"/>
    </xf>
    <xf numFmtId="0" fontId="0" fillId="0" borderId="67" xfId="0" applyNumberFormat="1" applyBorder="1" applyAlignment="1">
      <alignment horizontal="center" vertical="center"/>
    </xf>
    <xf numFmtId="0" fontId="0" fillId="0" borderId="71" xfId="0" applyNumberFormat="1" applyBorder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0" fillId="0" borderId="6" xfId="0" applyNumberFormat="1" applyBorder="1" applyAlignment="1">
      <alignment horizontal="right" vertical="center" wrapText="1"/>
    </xf>
    <xf numFmtId="0" fontId="0" fillId="0" borderId="7" xfId="0" applyNumberFormat="1" applyBorder="1" applyAlignment="1">
      <alignment horizontal="right" vertical="center" wrapText="1"/>
    </xf>
    <xf numFmtId="0" fontId="74" fillId="0" borderId="7" xfId="0" applyNumberFormat="1" applyFont="1" applyBorder="1" applyAlignment="1">
      <alignment horizontal="left" vertical="center" wrapText="1"/>
    </xf>
    <xf numFmtId="0" fontId="0" fillId="0" borderId="7" xfId="0" applyNumberFormat="1" applyBorder="1" applyAlignment="1">
      <alignment horizontal="left" vertical="center"/>
    </xf>
    <xf numFmtId="0" fontId="0" fillId="0" borderId="8" xfId="0" applyNumberFormat="1" applyBorder="1" applyAlignment="1">
      <alignment horizontal="left" vertical="center"/>
    </xf>
    <xf numFmtId="0" fontId="0" fillId="0" borderId="8" xfId="0" applyNumberFormat="1" applyBorder="1" applyAlignment="1">
      <alignment horizontal="center" vertical="center" wrapText="1"/>
    </xf>
    <xf numFmtId="0" fontId="74" fillId="0" borderId="5" xfId="0" applyNumberFormat="1" applyFont="1" applyBorder="1" applyAlignment="1">
      <alignment horizontal="center" vertical="center" wrapText="1"/>
    </xf>
    <xf numFmtId="0" fontId="22" fillId="0" borderId="5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 textRotation="255"/>
    </xf>
    <xf numFmtId="0" fontId="0" fillId="0" borderId="6" xfId="0" applyNumberFormat="1" applyBorder="1" applyAlignment="1">
      <alignment horizontal="right" vertical="center"/>
    </xf>
    <xf numFmtId="0" fontId="0" fillId="0" borderId="7" xfId="0" applyNumberFormat="1" applyBorder="1" applyAlignment="1">
      <alignment horizontal="right" vertical="center"/>
    </xf>
    <xf numFmtId="0" fontId="0" fillId="0" borderId="7" xfId="0" applyNumberFormat="1" applyBorder="1" applyAlignment="1">
      <alignment horizontal="left" vertical="center" wrapText="1"/>
    </xf>
    <xf numFmtId="0" fontId="0" fillId="0" borderId="31" xfId="0" applyNumberFormat="1" applyBorder="1" applyAlignment="1">
      <alignment horizontal="center" vertical="center" wrapText="1"/>
    </xf>
    <xf numFmtId="0" fontId="0" fillId="0" borderId="42" xfId="0" applyNumberFormat="1" applyBorder="1" applyAlignment="1">
      <alignment horizontal="center" vertical="center" wrapText="1"/>
    </xf>
    <xf numFmtId="0" fontId="0" fillId="0" borderId="43" xfId="0" applyNumberFormat="1" applyBorder="1" applyAlignment="1">
      <alignment horizontal="center" vertical="center" wrapText="1"/>
    </xf>
    <xf numFmtId="0" fontId="20" fillId="0" borderId="5" xfId="0" applyNumberFormat="1" applyFont="1" applyBorder="1" applyAlignment="1" applyProtection="1">
      <alignment horizontal="center" vertical="center"/>
    </xf>
    <xf numFmtId="0" fontId="0" fillId="0" borderId="5" xfId="0" applyNumberFormat="1" applyBorder="1" applyAlignment="1" applyProtection="1">
      <alignment horizontal="center" vertical="center"/>
    </xf>
    <xf numFmtId="0" fontId="0" fillId="0" borderId="6" xfId="0" applyNumberFormat="1" applyBorder="1" applyAlignment="1" applyProtection="1">
      <alignment horizontal="center" vertical="center" wrapText="1"/>
    </xf>
    <xf numFmtId="0" fontId="0" fillId="0" borderId="6" xfId="0" applyNumberFormat="1" applyBorder="1" applyAlignment="1" applyProtection="1">
      <alignment horizontal="center" vertical="center"/>
    </xf>
    <xf numFmtId="0" fontId="20" fillId="0" borderId="6" xfId="0" applyNumberFormat="1" applyFont="1" applyBorder="1" applyAlignment="1" applyProtection="1">
      <alignment horizontal="center" vertical="center"/>
    </xf>
    <xf numFmtId="0" fontId="20" fillId="0" borderId="21" xfId="0" applyNumberFormat="1" applyFont="1" applyBorder="1" applyAlignment="1" applyProtection="1">
      <alignment horizontal="center" vertical="center"/>
    </xf>
    <xf numFmtId="0" fontId="20" fillId="0" borderId="24" xfId="0" applyNumberFormat="1" applyFont="1" applyBorder="1" applyAlignment="1" applyProtection="1">
      <alignment horizontal="center" vertical="center"/>
    </xf>
    <xf numFmtId="0" fontId="0" fillId="0" borderId="21" xfId="0" applyNumberFormat="1" applyBorder="1" applyAlignment="1" applyProtection="1">
      <alignment horizontal="center" vertical="center"/>
    </xf>
    <xf numFmtId="0" fontId="0" fillId="0" borderId="24" xfId="0" applyNumberFormat="1" applyBorder="1" applyAlignment="1" applyProtection="1">
      <alignment horizontal="center" vertical="center"/>
    </xf>
    <xf numFmtId="0" fontId="0" fillId="0" borderId="5" xfId="0" applyNumberFormat="1" applyBorder="1" applyAlignment="1" applyProtection="1">
      <alignment horizontal="center" vertical="center" wrapText="1"/>
    </xf>
    <xf numFmtId="0" fontId="18" fillId="0" borderId="37" xfId="0" applyNumberFormat="1" applyFont="1" applyBorder="1" applyAlignment="1" applyProtection="1">
      <alignment horizontal="center" vertical="center"/>
    </xf>
    <xf numFmtId="0" fontId="74" fillId="0" borderId="6" xfId="0" applyNumberFormat="1" applyFont="1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/>
    </xf>
    <xf numFmtId="0" fontId="0" fillId="0" borderId="8" xfId="0" applyNumberFormat="1" applyBorder="1" applyAlignment="1" applyProtection="1">
      <alignment horizontal="center" vertical="center"/>
    </xf>
    <xf numFmtId="0" fontId="0" fillId="0" borderId="8" xfId="0" applyNumberFormat="1" applyBorder="1" applyAlignment="1" applyProtection="1">
      <alignment horizontal="center" vertical="center" wrapText="1"/>
    </xf>
    <xf numFmtId="0" fontId="19" fillId="0" borderId="0" xfId="0" applyNumberFormat="1" applyFont="1" applyAlignment="1">
      <alignment horizontal="center" vertical="center"/>
    </xf>
    <xf numFmtId="0" fontId="0" fillId="0" borderId="35" xfId="0" applyNumberFormat="1" applyBorder="1" applyAlignment="1">
      <alignment horizontal="center" vertical="center"/>
    </xf>
    <xf numFmtId="0" fontId="0" fillId="0" borderId="36" xfId="0" applyNumberFormat="1" applyBorder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0" fillId="0" borderId="4" xfId="0" applyNumberFormat="1" applyBorder="1" applyAlignment="1" applyProtection="1">
      <alignment horizontal="center" vertical="center" wrapText="1"/>
    </xf>
    <xf numFmtId="0" fontId="0" fillId="0" borderId="3" xfId="0" applyNumberFormat="1" applyBorder="1" applyAlignment="1" applyProtection="1">
      <alignment horizontal="center" vertical="center"/>
    </xf>
    <xf numFmtId="0" fontId="0" fillId="0" borderId="12" xfId="0" applyNumberFormat="1" applyBorder="1" applyAlignment="1" applyProtection="1">
      <alignment horizontal="center" vertical="center"/>
    </xf>
    <xf numFmtId="0" fontId="0" fillId="0" borderId="20" xfId="0" applyNumberFormat="1" applyBorder="1" applyAlignment="1" applyProtection="1">
      <alignment horizontal="center" vertical="center" wrapText="1"/>
    </xf>
    <xf numFmtId="0" fontId="0" fillId="0" borderId="22" xfId="0" applyNumberFormat="1" applyBorder="1" applyAlignment="1" applyProtection="1">
      <alignment horizontal="center" vertical="center" wrapText="1"/>
    </xf>
    <xf numFmtId="0" fontId="0" fillId="0" borderId="25" xfId="0" applyNumberFormat="1" applyBorder="1" applyAlignment="1" applyProtection="1">
      <alignment horizontal="center" vertical="center" wrapText="1"/>
    </xf>
    <xf numFmtId="0" fontId="0" fillId="0" borderId="21" xfId="0" applyNumberFormat="1" applyBorder="1" applyAlignment="1" applyProtection="1">
      <alignment horizontal="center" vertical="center" wrapText="1"/>
    </xf>
    <xf numFmtId="0" fontId="0" fillId="0" borderId="23" xfId="0" applyNumberFormat="1" applyBorder="1" applyAlignment="1" applyProtection="1">
      <alignment horizontal="center" vertical="center" wrapText="1"/>
    </xf>
    <xf numFmtId="0" fontId="0" fillId="0" borderId="24" xfId="0" applyNumberFormat="1" applyBorder="1" applyAlignment="1" applyProtection="1">
      <alignment horizontal="center" vertical="center" wrapText="1"/>
    </xf>
    <xf numFmtId="0" fontId="13" fillId="0" borderId="3" xfId="0" applyNumberFormat="1" applyFont="1" applyBorder="1" applyAlignment="1" applyProtection="1">
      <alignment horizontal="center" vertical="center"/>
    </xf>
    <xf numFmtId="0" fontId="13" fillId="0" borderId="11" xfId="0" applyNumberFormat="1" applyFont="1" applyBorder="1" applyAlignment="1" applyProtection="1">
      <alignment horizontal="center" vertical="center"/>
    </xf>
    <xf numFmtId="0" fontId="0" fillId="0" borderId="11" xfId="0" applyNumberFormat="1" applyBorder="1" applyAlignment="1" applyProtection="1">
      <alignment horizontal="center" vertical="center"/>
    </xf>
    <xf numFmtId="0" fontId="0" fillId="0" borderId="13" xfId="0" applyNumberFormat="1" applyBorder="1" applyAlignment="1" applyProtection="1">
      <alignment horizontal="center" vertical="center"/>
    </xf>
    <xf numFmtId="0" fontId="12" fillId="0" borderId="2" xfId="0" applyNumberFormat="1" applyFont="1" applyBorder="1" applyAlignment="1" applyProtection="1">
      <alignment horizontal="center" vertical="center" wrapText="1"/>
    </xf>
    <xf numFmtId="0" fontId="12" fillId="0" borderId="3" xfId="0" applyNumberFormat="1" applyFont="1" applyBorder="1" applyAlignment="1" applyProtection="1">
      <alignment horizontal="center" vertical="center" wrapText="1"/>
    </xf>
    <xf numFmtId="0" fontId="12" fillId="0" borderId="4" xfId="0" applyNumberFormat="1" applyFont="1" applyBorder="1" applyAlignment="1" applyProtection="1">
      <alignment horizontal="center" vertical="center" wrapText="1"/>
    </xf>
    <xf numFmtId="0" fontId="12" fillId="0" borderId="5" xfId="0" applyNumberFormat="1" applyFont="1" applyBorder="1" applyAlignment="1" applyProtection="1">
      <alignment horizontal="center" vertical="center" wrapText="1"/>
    </xf>
    <xf numFmtId="0" fontId="0" fillId="0" borderId="28" xfId="0" applyNumberFormat="1" applyBorder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  <protection locked="0"/>
    </xf>
    <xf numFmtId="0" fontId="74" fillId="0" borderId="37" xfId="0" applyNumberFormat="1" applyFont="1" applyBorder="1" applyAlignment="1">
      <alignment horizontal="center" vertical="center"/>
    </xf>
    <xf numFmtId="0" fontId="23" fillId="0" borderId="135" xfId="0" applyNumberFormat="1" applyFont="1" applyBorder="1" applyAlignment="1">
      <alignment horizontal="left" vertical="center" wrapText="1" indent="1"/>
    </xf>
    <xf numFmtId="0" fontId="23" fillId="0" borderId="136" xfId="0" applyNumberFormat="1" applyFont="1" applyBorder="1" applyAlignment="1">
      <alignment horizontal="left" vertical="center" wrapText="1" indent="1"/>
    </xf>
    <xf numFmtId="0" fontId="23" fillId="0" borderId="139" xfId="0" applyNumberFormat="1" applyFont="1" applyBorder="1" applyAlignment="1">
      <alignment horizontal="left" vertical="center" wrapText="1" indent="1"/>
    </xf>
    <xf numFmtId="0" fontId="23" fillId="0" borderId="60" xfId="0" applyNumberFormat="1" applyFont="1" applyBorder="1" applyAlignment="1">
      <alignment horizontal="left" vertical="center" wrapText="1"/>
    </xf>
    <xf numFmtId="0" fontId="23" fillId="0" borderId="61" xfId="0" applyNumberFormat="1" applyFont="1" applyBorder="1" applyAlignment="1">
      <alignment horizontal="left" vertical="center" wrapText="1"/>
    </xf>
    <xf numFmtId="0" fontId="23" fillId="0" borderId="56" xfId="0" applyNumberFormat="1" applyFont="1" applyBorder="1" applyAlignment="1">
      <alignment horizontal="left" vertical="center" wrapText="1"/>
    </xf>
    <xf numFmtId="0" fontId="23" fillId="0" borderId="134" xfId="0" applyNumberFormat="1" applyFont="1" applyBorder="1" applyAlignment="1">
      <alignment horizontal="justify" vertical="center" wrapText="1"/>
    </xf>
    <xf numFmtId="0" fontId="23" fillId="0" borderId="133" xfId="0" applyNumberFormat="1" applyFont="1" applyBorder="1" applyAlignment="1">
      <alignment horizontal="justify" vertical="center" wrapText="1"/>
    </xf>
    <xf numFmtId="0" fontId="20" fillId="0" borderId="68" xfId="0" applyNumberFormat="1" applyFont="1" applyBorder="1" applyAlignment="1">
      <alignment horizontal="left" vertical="center" wrapText="1"/>
    </xf>
    <xf numFmtId="0" fontId="20" fillId="0" borderId="74" xfId="0" applyNumberFormat="1" applyFont="1" applyBorder="1" applyAlignment="1">
      <alignment horizontal="left" vertical="center"/>
    </xf>
    <xf numFmtId="0" fontId="20" fillId="0" borderId="75" xfId="0" applyNumberFormat="1" applyFont="1" applyBorder="1" applyAlignment="1">
      <alignment horizontal="left" vertical="center"/>
    </xf>
    <xf numFmtId="0" fontId="23" fillId="0" borderId="135" xfId="0" applyNumberFormat="1" applyFont="1" applyBorder="1" applyAlignment="1">
      <alignment horizontal="left" vertical="center" wrapText="1"/>
    </xf>
    <xf numFmtId="0" fontId="23" fillId="0" borderId="136" xfId="0" applyNumberFormat="1" applyFont="1" applyBorder="1" applyAlignment="1">
      <alignment horizontal="left" vertical="center" wrapText="1"/>
    </xf>
    <xf numFmtId="0" fontId="23" fillId="0" borderId="139" xfId="0" applyNumberFormat="1" applyFont="1" applyBorder="1" applyAlignment="1">
      <alignment horizontal="left" vertical="center" wrapText="1"/>
    </xf>
    <xf numFmtId="0" fontId="67" fillId="0" borderId="68" xfId="0" applyNumberFormat="1" applyFont="1" applyBorder="1" applyAlignment="1">
      <alignment horizontal="center" vertical="center"/>
    </xf>
    <xf numFmtId="0" fontId="67" fillId="0" borderId="74" xfId="0" applyNumberFormat="1" applyFont="1" applyBorder="1" applyAlignment="1">
      <alignment horizontal="center" vertical="center"/>
    </xf>
    <xf numFmtId="0" fontId="67" fillId="0" borderId="75" xfId="0" applyNumberFormat="1" applyFont="1" applyBorder="1" applyAlignment="1">
      <alignment horizontal="center" vertical="center"/>
    </xf>
    <xf numFmtId="0" fontId="102" fillId="0" borderId="68" xfId="0" applyNumberFormat="1" applyFont="1" applyBorder="1" applyAlignment="1">
      <alignment horizontal="center" vertical="center"/>
    </xf>
    <xf numFmtId="0" fontId="102" fillId="0" borderId="74" xfId="0" applyNumberFormat="1" applyFont="1" applyBorder="1" applyAlignment="1">
      <alignment horizontal="center" vertical="center"/>
    </xf>
    <xf numFmtId="0" fontId="102" fillId="0" borderId="75" xfId="0" applyNumberFormat="1" applyFont="1" applyBorder="1" applyAlignment="1">
      <alignment horizontal="center" vertical="center"/>
    </xf>
    <xf numFmtId="0" fontId="102" fillId="0" borderId="18" xfId="0" applyNumberFormat="1" applyFont="1" applyBorder="1" applyAlignment="1">
      <alignment horizontal="center" vertical="center"/>
    </xf>
    <xf numFmtId="0" fontId="102" fillId="0" borderId="52" xfId="0" applyNumberFormat="1" applyFont="1" applyBorder="1" applyAlignment="1">
      <alignment horizontal="center" vertical="center"/>
    </xf>
    <xf numFmtId="0" fontId="3" fillId="0" borderId="52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8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41" Type="http://schemas.openxmlformats.org/officeDocument/2006/relationships/worksheet" Target="worksheets/sheet41.xml"/><Relationship Id="rId45" Type="http://schemas.openxmlformats.org/officeDocument/2006/relationships/worksheet" Target="worksheets/sheet45.xml"/><Relationship Id="rId58" Type="http://schemas.openxmlformats.org/officeDocument/2006/relationships/theme" Target="theme/theme1.xml"/><Relationship Id="rId61" Type="http://schemas.openxmlformats.org/officeDocument/2006/relationships/calcChain" Target="calcChain.xml"/><Relationship Id="rId44" Type="http://schemas.openxmlformats.org/officeDocument/2006/relationships/worksheet" Target="worksheets/sheet44.xml"/><Relationship Id="rId60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54"/>
  <sheetViews>
    <sheetView showZeros="0" topLeftCell="A4" workbookViewId="0">
      <selection activeCell="A3" sqref="A3"/>
    </sheetView>
  </sheetViews>
  <sheetFormatPr defaultColWidth="9" defaultRowHeight="13.5" x14ac:dyDescent="0.15"/>
  <cols>
    <col min="1" max="2" width="9" style="439"/>
    <col min="3" max="3" width="2.25" style="439" customWidth="1"/>
    <col min="4" max="7" width="9" style="439"/>
    <col min="8" max="8" width="12.625" style="439"/>
    <col min="9" max="9" width="12.375" style="439" customWidth="1"/>
    <col min="10" max="10" width="9" style="439"/>
    <col min="11" max="11" width="11.75" style="439" customWidth="1"/>
    <col min="12" max="13" width="8.25" style="439" customWidth="1"/>
    <col min="14" max="14" width="6.25" style="439" customWidth="1"/>
    <col min="15" max="15" width="10.5" style="439" customWidth="1"/>
    <col min="16" max="16" width="4.875" style="439" customWidth="1"/>
    <col min="17" max="17" width="7.375" style="439" customWidth="1"/>
    <col min="18" max="18" width="8.25" style="439" customWidth="1"/>
    <col min="19" max="19" width="9" style="439" customWidth="1"/>
    <col min="20" max="20" width="8.875" style="439" customWidth="1"/>
    <col min="21" max="16384" width="9" style="439"/>
  </cols>
  <sheetData>
    <row r="1" spans="1:20" ht="14.25" thickBot="1" x14ac:dyDescent="0.2">
      <c r="M1" s="444" t="s">
        <v>593</v>
      </c>
      <c r="R1" s="1615" t="s">
        <v>589</v>
      </c>
      <c r="S1" s="1616"/>
    </row>
    <row r="2" spans="1:20" ht="14.25" thickTop="1" x14ac:dyDescent="0.15">
      <c r="A2" s="896" t="s">
        <v>9</v>
      </c>
      <c r="B2" s="897" t="s">
        <v>10</v>
      </c>
      <c r="C2" s="651"/>
      <c r="D2" s="441"/>
      <c r="E2" s="441"/>
      <c r="F2" s="441"/>
      <c r="G2" s="441"/>
      <c r="H2" s="441"/>
      <c r="I2" s="441"/>
      <c r="J2" s="441"/>
      <c r="K2" s="441"/>
      <c r="L2" s="441"/>
      <c r="M2" s="898" t="s">
        <v>594</v>
      </c>
      <c r="N2" s="899" t="s">
        <v>595</v>
      </c>
      <c r="O2" s="900" t="s">
        <v>11</v>
      </c>
      <c r="P2" s="901"/>
      <c r="Q2" s="641" t="s">
        <v>8</v>
      </c>
      <c r="R2" s="902" t="s">
        <v>577</v>
      </c>
      <c r="S2" s="656" t="s">
        <v>12</v>
      </c>
      <c r="T2" s="903" t="s">
        <v>7</v>
      </c>
    </row>
    <row r="3" spans="1:20" x14ac:dyDescent="0.15">
      <c r="A3" s="949">
        <v>7.8</v>
      </c>
      <c r="B3" s="950">
        <v>8.1</v>
      </c>
      <c r="C3" s="904"/>
      <c r="D3" s="905"/>
      <c r="E3" s="905"/>
      <c r="F3" s="905"/>
      <c r="G3" s="905"/>
      <c r="H3" s="905"/>
      <c r="I3" s="905"/>
      <c r="J3" s="905"/>
      <c r="K3" s="905"/>
      <c r="L3" s="905"/>
      <c r="M3" s="906">
        <f>IF(INDEX(树高曲线1,1)=$M$1,INDEX(树高曲线1,2),
 IF(INDEX(树高曲线2,1)=$M$1,INDEX(树高曲线2,2),
 IF(INDEX(树高曲线3,1)=$M$1,INDEX(树高曲线3,2),
 IF(INDEX(树高曲线4,1)=$M$1,INDEX(树高曲线4,2),
 IF(INDEX(树高曲线5,1)=$M$1,INDEX(树高曲线5,2),"未找到")))))</f>
        <v>16</v>
      </c>
      <c r="N3" s="459">
        <f>IFERROR(ROUND(30.21349-385.4091/(M3+10),1),0)</f>
        <v>15.4</v>
      </c>
      <c r="O3" s="907">
        <f>B3+$I$33/(A3+$I$34)</f>
        <v>29.752196629213486</v>
      </c>
      <c r="P3" s="908"/>
      <c r="Q3" s="641">
        <v>6</v>
      </c>
      <c r="R3" s="953">
        <f>ROUND($I$32-$I$33/(Q3+$I$34),1)</f>
        <v>4.3</v>
      </c>
      <c r="S3" s="954">
        <f>ROUND(30.21349-385.4091/(Q3+10),2)</f>
        <v>6.13</v>
      </c>
      <c r="T3" s="795">
        <f>R3</f>
        <v>4.3</v>
      </c>
    </row>
    <row r="4" spans="1:20" x14ac:dyDescent="0.15">
      <c r="A4" s="951">
        <v>10.199999999999999</v>
      </c>
      <c r="B4" s="950">
        <v>9.8000000000000007</v>
      </c>
      <c r="C4" s="904"/>
      <c r="D4" s="905"/>
      <c r="E4" s="905"/>
      <c r="F4" s="905"/>
      <c r="G4" s="905"/>
      <c r="H4" s="905"/>
      <c r="I4" s="905"/>
      <c r="J4" s="905"/>
      <c r="K4" s="905"/>
      <c r="L4" s="905"/>
      <c r="M4" s="906">
        <f>IF(OR($M$3="未找到",$M$3=""),"",IF($M$3+2*(ROW()-3)&gt;$M$35,"",$M$3+2*(ROW()-3)))</f>
        <v>18</v>
      </c>
      <c r="N4" s="459">
        <f t="shared" ref="N4:N30" si="0">IFERROR(ROUND(30.21349-385.4091/(M4+10),1),0)</f>
        <v>16.399999999999999</v>
      </c>
      <c r="O4" s="907">
        <f t="shared" ref="O4:O20" si="1">B4+$I$33/(A4+$I$34)</f>
        <v>28.879658415841586</v>
      </c>
      <c r="P4" s="908"/>
      <c r="Q4" s="641">
        <v>8</v>
      </c>
      <c r="R4" s="953">
        <f t="shared" ref="R4:R35" si="2">ROUND($I$32-$I$33/(Q4+$I$34),1)</f>
        <v>7</v>
      </c>
      <c r="S4" s="954">
        <f t="shared" ref="S4:S35" si="3">ROUND(30.21349-385.4091/(Q4+10),2)</f>
        <v>8.8000000000000007</v>
      </c>
      <c r="T4" s="795">
        <f t="shared" ref="T4:T35" si="4">R4</f>
        <v>7</v>
      </c>
    </row>
    <row r="5" spans="1:20" x14ac:dyDescent="0.15">
      <c r="A5" s="951">
        <v>11.5</v>
      </c>
      <c r="B5" s="950">
        <v>10</v>
      </c>
      <c r="C5" s="904"/>
      <c r="D5" s="905"/>
      <c r="E5" s="905"/>
      <c r="F5" s="905"/>
      <c r="G5" s="905"/>
      <c r="H5" s="905"/>
      <c r="I5" s="905"/>
      <c r="J5" s="905"/>
      <c r="K5" s="905"/>
      <c r="L5" s="905"/>
      <c r="M5" s="906">
        <f t="shared" ref="M5:M30" si="5">IF(OR($M$3="未找到",$M$3=""),"",IF($M$3+2*(ROW()-3)&gt;$M$35,"",$M$3+2*(ROW()-3)))</f>
        <v>20</v>
      </c>
      <c r="N5" s="459">
        <f t="shared" si="0"/>
        <v>17.399999999999999</v>
      </c>
      <c r="O5" s="907">
        <f t="shared" si="1"/>
        <v>27.926004651162792</v>
      </c>
      <c r="P5" s="908"/>
      <c r="Q5" s="641">
        <v>10</v>
      </c>
      <c r="R5" s="953">
        <f t="shared" si="2"/>
        <v>9.1</v>
      </c>
      <c r="S5" s="954">
        <f t="shared" si="3"/>
        <v>10.94</v>
      </c>
      <c r="T5" s="795">
        <f t="shared" si="4"/>
        <v>9.1</v>
      </c>
    </row>
    <row r="6" spans="1:20" x14ac:dyDescent="0.15">
      <c r="A6" s="951">
        <v>14.2</v>
      </c>
      <c r="B6" s="950">
        <v>11.9</v>
      </c>
      <c r="C6" s="904"/>
      <c r="D6" s="905"/>
      <c r="E6" s="905"/>
      <c r="F6" s="905"/>
      <c r="G6" s="905"/>
      <c r="H6" s="905"/>
      <c r="I6" s="905"/>
      <c r="J6" s="905"/>
      <c r="K6" s="905"/>
      <c r="L6" s="905"/>
      <c r="M6" s="906">
        <f t="shared" si="5"/>
        <v>22</v>
      </c>
      <c r="N6" s="459">
        <f t="shared" si="0"/>
        <v>18.2</v>
      </c>
      <c r="O6" s="907">
        <f t="shared" si="1"/>
        <v>27.825995867768597</v>
      </c>
      <c r="P6" s="908"/>
      <c r="Q6" s="641">
        <v>12</v>
      </c>
      <c r="R6" s="953">
        <f t="shared" si="2"/>
        <v>10.9</v>
      </c>
      <c r="S6" s="954">
        <f t="shared" si="3"/>
        <v>12.69</v>
      </c>
      <c r="T6" s="795">
        <f t="shared" si="4"/>
        <v>10.9</v>
      </c>
    </row>
    <row r="7" spans="1:20" x14ac:dyDescent="0.15">
      <c r="A7" s="951">
        <v>15.7</v>
      </c>
      <c r="B7" s="950">
        <v>12.6</v>
      </c>
      <c r="C7" s="904"/>
      <c r="D7" s="905"/>
      <c r="E7" s="905"/>
      <c r="F7" s="905"/>
      <c r="G7" s="905"/>
      <c r="H7" s="905"/>
      <c r="I7" s="905"/>
      <c r="J7" s="905"/>
      <c r="K7" s="905"/>
      <c r="L7" s="905"/>
      <c r="M7" s="906">
        <f t="shared" si="5"/>
        <v>24</v>
      </c>
      <c r="N7" s="459">
        <f t="shared" si="0"/>
        <v>18.899999999999999</v>
      </c>
      <c r="O7" s="907">
        <f t="shared" si="1"/>
        <v>27.596463035019454</v>
      </c>
      <c r="P7" s="908"/>
      <c r="Q7" s="641">
        <v>14</v>
      </c>
      <c r="R7" s="953">
        <f t="shared" si="2"/>
        <v>12.3</v>
      </c>
      <c r="S7" s="954">
        <f t="shared" si="3"/>
        <v>14.15</v>
      </c>
      <c r="T7" s="795">
        <f t="shared" si="4"/>
        <v>12.3</v>
      </c>
    </row>
    <row r="8" spans="1:20" x14ac:dyDescent="0.15">
      <c r="A8" s="951">
        <v>17.8</v>
      </c>
      <c r="B8" s="950">
        <v>13</v>
      </c>
      <c r="C8" s="904"/>
      <c r="D8" s="905"/>
      <c r="E8" s="905"/>
      <c r="F8" s="905"/>
      <c r="G8" s="905"/>
      <c r="H8" s="905"/>
      <c r="I8" s="905"/>
      <c r="J8" s="905"/>
      <c r="K8" s="905"/>
      <c r="L8" s="905"/>
      <c r="M8" s="906">
        <f t="shared" si="5"/>
        <v>26</v>
      </c>
      <c r="N8" s="459">
        <f t="shared" si="0"/>
        <v>19.5</v>
      </c>
      <c r="O8" s="907">
        <f t="shared" si="1"/>
        <v>26.863636690647482</v>
      </c>
      <c r="P8" s="908"/>
      <c r="Q8" s="641">
        <v>16</v>
      </c>
      <c r="R8" s="953">
        <f t="shared" si="2"/>
        <v>13.5</v>
      </c>
      <c r="S8" s="954">
        <f t="shared" si="3"/>
        <v>15.39</v>
      </c>
      <c r="T8" s="795">
        <f t="shared" si="4"/>
        <v>13.5</v>
      </c>
    </row>
    <row r="9" spans="1:20" x14ac:dyDescent="0.15">
      <c r="A9" s="951">
        <v>19</v>
      </c>
      <c r="B9" s="950">
        <v>15.7</v>
      </c>
      <c r="C9" s="904"/>
      <c r="D9" s="905"/>
      <c r="E9" s="905"/>
      <c r="F9" s="905"/>
      <c r="G9" s="905"/>
      <c r="H9" s="905"/>
      <c r="I9" s="905"/>
      <c r="J9" s="905"/>
      <c r="K9" s="905"/>
      <c r="L9" s="905"/>
      <c r="M9" s="906">
        <f t="shared" si="5"/>
        <v>28</v>
      </c>
      <c r="N9" s="459">
        <f t="shared" si="0"/>
        <v>20.100000000000001</v>
      </c>
      <c r="O9" s="907">
        <f t="shared" si="1"/>
        <v>28.989968965517242</v>
      </c>
      <c r="P9" s="908"/>
      <c r="Q9" s="641">
        <v>18</v>
      </c>
      <c r="R9" s="953">
        <f t="shared" si="2"/>
        <v>14.6</v>
      </c>
      <c r="S9" s="954">
        <f t="shared" si="3"/>
        <v>16.45</v>
      </c>
      <c r="T9" s="795">
        <f t="shared" si="4"/>
        <v>14.6</v>
      </c>
    </row>
    <row r="10" spans="1:20" x14ac:dyDescent="0.15">
      <c r="A10" s="951">
        <v>8.4</v>
      </c>
      <c r="B10" s="950">
        <v>9.1999999999999993</v>
      </c>
      <c r="C10" s="904"/>
      <c r="D10" s="905"/>
      <c r="E10" s="905"/>
      <c r="F10" s="905"/>
      <c r="G10" s="905"/>
      <c r="H10" s="905"/>
      <c r="I10" s="905"/>
      <c r="J10" s="905"/>
      <c r="K10" s="905"/>
      <c r="L10" s="905"/>
      <c r="M10" s="906">
        <f t="shared" si="5"/>
        <v>30</v>
      </c>
      <c r="N10" s="459">
        <f t="shared" si="0"/>
        <v>20.6</v>
      </c>
      <c r="O10" s="907">
        <f t="shared" si="1"/>
        <v>30.146146739130437</v>
      </c>
      <c r="P10" s="908"/>
      <c r="Q10" s="641">
        <v>20</v>
      </c>
      <c r="R10" s="953">
        <f t="shared" si="2"/>
        <v>15.5</v>
      </c>
      <c r="S10" s="954">
        <f t="shared" si="3"/>
        <v>17.37</v>
      </c>
      <c r="T10" s="795">
        <f t="shared" si="4"/>
        <v>15.5</v>
      </c>
    </row>
    <row r="11" spans="1:20" x14ac:dyDescent="0.15">
      <c r="A11" s="951">
        <v>13.5</v>
      </c>
      <c r="B11" s="950">
        <v>13</v>
      </c>
      <c r="C11" s="904"/>
      <c r="D11" s="905"/>
      <c r="E11" s="905"/>
      <c r="F11" s="905"/>
      <c r="G11" s="905"/>
      <c r="H11" s="905"/>
      <c r="I11" s="905"/>
      <c r="J11" s="905"/>
      <c r="K11" s="905"/>
      <c r="L11" s="905"/>
      <c r="M11" s="906">
        <f t="shared" si="5"/>
        <v>32</v>
      </c>
      <c r="N11" s="459">
        <f t="shared" si="0"/>
        <v>21</v>
      </c>
      <c r="O11" s="907">
        <f t="shared" si="1"/>
        <v>29.400387234042554</v>
      </c>
      <c r="P11" s="908"/>
      <c r="Q11" s="641">
        <v>22</v>
      </c>
      <c r="R11" s="953">
        <f t="shared" si="2"/>
        <v>16.3</v>
      </c>
      <c r="S11" s="954">
        <f t="shared" si="3"/>
        <v>18.170000000000002</v>
      </c>
      <c r="T11" s="795">
        <f t="shared" si="4"/>
        <v>16.3</v>
      </c>
    </row>
    <row r="12" spans="1:20" x14ac:dyDescent="0.15">
      <c r="A12" s="951">
        <v>11.8</v>
      </c>
      <c r="B12" s="950">
        <v>10.5</v>
      </c>
      <c r="C12" s="904"/>
      <c r="D12" s="905"/>
      <c r="E12" s="905"/>
      <c r="F12" s="905"/>
      <c r="G12" s="905"/>
      <c r="H12" s="905"/>
      <c r="I12" s="905"/>
      <c r="J12" s="905"/>
      <c r="K12" s="905"/>
      <c r="L12" s="905"/>
      <c r="M12" s="906">
        <f t="shared" si="5"/>
        <v>34</v>
      </c>
      <c r="N12" s="459">
        <f t="shared" si="0"/>
        <v>21.5</v>
      </c>
      <c r="O12" s="907">
        <f t="shared" si="1"/>
        <v>28.179316513761467</v>
      </c>
      <c r="P12" s="908"/>
      <c r="Q12" s="641">
        <v>24</v>
      </c>
      <c r="R12" s="953">
        <f t="shared" si="2"/>
        <v>17</v>
      </c>
      <c r="S12" s="954">
        <f t="shared" si="3"/>
        <v>18.88</v>
      </c>
      <c r="T12" s="795">
        <f t="shared" si="4"/>
        <v>17</v>
      </c>
    </row>
    <row r="13" spans="1:20" x14ac:dyDescent="0.15">
      <c r="A13" s="951">
        <v>17.899999999999999</v>
      </c>
      <c r="B13" s="950">
        <v>14.6</v>
      </c>
      <c r="C13" s="904"/>
      <c r="D13" s="905"/>
      <c r="E13" s="905"/>
      <c r="F13" s="905"/>
      <c r="G13" s="905"/>
      <c r="H13" s="905"/>
      <c r="I13" s="905"/>
      <c r="J13" s="905"/>
      <c r="K13" s="905"/>
      <c r="L13" s="905"/>
      <c r="M13" s="906">
        <f t="shared" si="5"/>
        <v>36</v>
      </c>
      <c r="N13" s="459">
        <f t="shared" si="0"/>
        <v>21.8</v>
      </c>
      <c r="O13" s="907">
        <f t="shared" si="1"/>
        <v>28.413946236559141</v>
      </c>
      <c r="P13" s="908"/>
      <c r="Q13" s="641">
        <v>26</v>
      </c>
      <c r="R13" s="953">
        <f t="shared" si="2"/>
        <v>17.7</v>
      </c>
      <c r="S13" s="954">
        <f t="shared" si="3"/>
        <v>19.510000000000002</v>
      </c>
      <c r="T13" s="795">
        <f t="shared" si="4"/>
        <v>17.7</v>
      </c>
    </row>
    <row r="14" spans="1:20" x14ac:dyDescent="0.15">
      <c r="A14" s="951">
        <v>16.2</v>
      </c>
      <c r="B14" s="950">
        <v>12.7</v>
      </c>
      <c r="C14" s="904"/>
      <c r="D14" s="905"/>
      <c r="E14" s="905"/>
      <c r="F14" s="905"/>
      <c r="G14" s="905"/>
      <c r="H14" s="905"/>
      <c r="I14" s="905"/>
      <c r="J14" s="905"/>
      <c r="K14" s="905"/>
      <c r="L14" s="905"/>
      <c r="M14" s="906">
        <f t="shared" si="5"/>
        <v>38</v>
      </c>
      <c r="N14" s="459">
        <f t="shared" si="0"/>
        <v>22.2</v>
      </c>
      <c r="O14" s="907">
        <f t="shared" si="1"/>
        <v>27.410270992366414</v>
      </c>
      <c r="P14" s="908"/>
      <c r="Q14" s="641">
        <v>28</v>
      </c>
      <c r="R14" s="953">
        <f t="shared" si="2"/>
        <v>18.2</v>
      </c>
      <c r="S14" s="954">
        <f t="shared" si="3"/>
        <v>20.07</v>
      </c>
      <c r="T14" s="795">
        <f t="shared" si="4"/>
        <v>18.2</v>
      </c>
    </row>
    <row r="15" spans="1:20" x14ac:dyDescent="0.15">
      <c r="A15" s="951">
        <v>12.8</v>
      </c>
      <c r="B15" s="950">
        <v>11</v>
      </c>
      <c r="C15" s="904"/>
      <c r="D15" s="905"/>
      <c r="E15" s="905"/>
      <c r="F15" s="905"/>
      <c r="G15" s="905"/>
      <c r="H15" s="905"/>
      <c r="I15" s="905"/>
      <c r="J15" s="905"/>
      <c r="K15" s="905"/>
      <c r="L15" s="905"/>
      <c r="M15" s="906" t="str">
        <f t="shared" si="5"/>
        <v/>
      </c>
      <c r="N15" s="459">
        <f t="shared" si="0"/>
        <v>0</v>
      </c>
      <c r="O15" s="907">
        <f t="shared" si="1"/>
        <v>27.903907894736843</v>
      </c>
      <c r="P15" s="908"/>
      <c r="Q15" s="641">
        <v>30</v>
      </c>
      <c r="R15" s="953">
        <f t="shared" si="2"/>
        <v>18.7</v>
      </c>
      <c r="S15" s="954">
        <f t="shared" si="3"/>
        <v>20.58</v>
      </c>
      <c r="T15" s="795">
        <f t="shared" si="4"/>
        <v>18.7</v>
      </c>
    </row>
    <row r="16" spans="1:20" x14ac:dyDescent="0.15">
      <c r="A16" s="951">
        <v>9.8000000000000007</v>
      </c>
      <c r="B16" s="950">
        <v>10</v>
      </c>
      <c r="C16" s="904"/>
      <c r="D16" s="905"/>
      <c r="E16" s="905"/>
      <c r="F16" s="905"/>
      <c r="G16" s="905"/>
      <c r="H16" s="905"/>
      <c r="I16" s="905"/>
      <c r="J16" s="905"/>
      <c r="K16" s="905"/>
      <c r="L16" s="905"/>
      <c r="M16" s="906" t="str">
        <f t="shared" si="5"/>
        <v/>
      </c>
      <c r="N16" s="459">
        <f t="shared" si="0"/>
        <v>0</v>
      </c>
      <c r="O16" s="907">
        <f t="shared" si="1"/>
        <v>29.465106060606061</v>
      </c>
      <c r="P16" s="908"/>
      <c r="Q16" s="641">
        <v>32</v>
      </c>
      <c r="R16" s="953">
        <f t="shared" si="2"/>
        <v>19.2</v>
      </c>
      <c r="S16" s="954">
        <f t="shared" si="3"/>
        <v>21.04</v>
      </c>
      <c r="T16" s="795">
        <f t="shared" si="4"/>
        <v>19.2</v>
      </c>
    </row>
    <row r="17" spans="1:20" x14ac:dyDescent="0.15">
      <c r="A17" s="951">
        <v>18.5</v>
      </c>
      <c r="B17" s="950">
        <v>14.4</v>
      </c>
      <c r="C17" s="904"/>
      <c r="D17" s="905"/>
      <c r="E17" s="905"/>
      <c r="F17" s="905"/>
      <c r="G17" s="905"/>
      <c r="H17" s="905"/>
      <c r="I17" s="905"/>
      <c r="J17" s="905"/>
      <c r="K17" s="905"/>
      <c r="L17" s="905"/>
      <c r="M17" s="906" t="str">
        <f t="shared" si="5"/>
        <v/>
      </c>
      <c r="N17" s="459">
        <f t="shared" si="0"/>
        <v>0</v>
      </c>
      <c r="O17" s="907">
        <f t="shared" si="1"/>
        <v>27.923126315789474</v>
      </c>
      <c r="P17" s="908"/>
      <c r="Q17" s="641">
        <v>34</v>
      </c>
      <c r="R17" s="953">
        <f t="shared" si="2"/>
        <v>19.600000000000001</v>
      </c>
      <c r="S17" s="954">
        <f t="shared" si="3"/>
        <v>21.45</v>
      </c>
      <c r="T17" s="795">
        <f t="shared" si="4"/>
        <v>19.600000000000001</v>
      </c>
    </row>
    <row r="18" spans="1:20" x14ac:dyDescent="0.15">
      <c r="A18" s="951">
        <v>17.600000000000001</v>
      </c>
      <c r="B18" s="952">
        <v>14</v>
      </c>
      <c r="C18" s="909"/>
      <c r="M18" s="906" t="str">
        <f t="shared" si="5"/>
        <v/>
      </c>
      <c r="N18" s="459">
        <f t="shared" si="0"/>
        <v>0</v>
      </c>
      <c r="O18" s="907">
        <f t="shared" si="1"/>
        <v>27.964097826086956</v>
      </c>
      <c r="P18" s="908"/>
      <c r="Q18" s="641">
        <v>36</v>
      </c>
      <c r="R18" s="953">
        <f t="shared" si="2"/>
        <v>20</v>
      </c>
      <c r="S18" s="954">
        <f t="shared" si="3"/>
        <v>21.84</v>
      </c>
      <c r="T18" s="795">
        <f t="shared" si="4"/>
        <v>20</v>
      </c>
    </row>
    <row r="19" spans="1:20" x14ac:dyDescent="0.15">
      <c r="A19" s="951">
        <v>14.4</v>
      </c>
      <c r="B19" s="952">
        <v>12</v>
      </c>
      <c r="C19" s="909"/>
      <c r="M19" s="906" t="str">
        <f t="shared" si="5"/>
        <v/>
      </c>
      <c r="N19" s="459">
        <f t="shared" si="0"/>
        <v>0</v>
      </c>
      <c r="O19" s="907">
        <f t="shared" si="1"/>
        <v>27.795454918032789</v>
      </c>
      <c r="P19" s="908"/>
      <c r="Q19" s="641">
        <v>38</v>
      </c>
      <c r="R19" s="953">
        <f t="shared" si="2"/>
        <v>20.3</v>
      </c>
      <c r="S19" s="954">
        <f t="shared" si="3"/>
        <v>22.18</v>
      </c>
      <c r="T19" s="795">
        <f t="shared" si="4"/>
        <v>20.3</v>
      </c>
    </row>
    <row r="20" spans="1:20" x14ac:dyDescent="0.15">
      <c r="A20" s="951">
        <v>16.7</v>
      </c>
      <c r="B20" s="952">
        <v>13.8</v>
      </c>
      <c r="C20" s="909"/>
      <c r="M20" s="906" t="str">
        <f t="shared" si="5"/>
        <v/>
      </c>
      <c r="N20" s="459">
        <f t="shared" si="0"/>
        <v>0</v>
      </c>
      <c r="O20" s="907">
        <f t="shared" si="1"/>
        <v>28.234797752808991</v>
      </c>
      <c r="P20" s="908"/>
      <c r="Q20" s="641">
        <v>40</v>
      </c>
      <c r="R20" s="953">
        <f t="shared" si="2"/>
        <v>20.7</v>
      </c>
      <c r="S20" s="954">
        <f t="shared" si="3"/>
        <v>22.51</v>
      </c>
      <c r="T20" s="795">
        <f t="shared" si="4"/>
        <v>20.7</v>
      </c>
    </row>
    <row r="21" spans="1:20" x14ac:dyDescent="0.15">
      <c r="A21" s="910"/>
      <c r="B21" s="911"/>
      <c r="C21" s="651"/>
      <c r="M21" s="906" t="str">
        <f t="shared" si="5"/>
        <v/>
      </c>
      <c r="N21" s="459">
        <f t="shared" si="0"/>
        <v>0</v>
      </c>
      <c r="O21" s="912"/>
      <c r="P21" s="908"/>
      <c r="Q21" s="641">
        <v>42</v>
      </c>
      <c r="R21" s="953">
        <f t="shared" si="2"/>
        <v>21</v>
      </c>
      <c r="S21" s="954">
        <f t="shared" si="3"/>
        <v>22.8</v>
      </c>
      <c r="T21" s="795">
        <f t="shared" si="4"/>
        <v>21</v>
      </c>
    </row>
    <row r="22" spans="1:20" x14ac:dyDescent="0.15">
      <c r="A22" s="910"/>
      <c r="B22" s="911"/>
      <c r="C22" s="651"/>
      <c r="M22" s="906" t="str">
        <f t="shared" si="5"/>
        <v/>
      </c>
      <c r="N22" s="459">
        <f t="shared" si="0"/>
        <v>0</v>
      </c>
      <c r="O22" s="912"/>
      <c r="P22" s="908"/>
      <c r="Q22" s="641">
        <v>44</v>
      </c>
      <c r="R22" s="953">
        <f t="shared" si="2"/>
        <v>21.2</v>
      </c>
      <c r="S22" s="954">
        <f t="shared" si="3"/>
        <v>23.08</v>
      </c>
      <c r="T22" s="795">
        <f t="shared" si="4"/>
        <v>21.2</v>
      </c>
    </row>
    <row r="23" spans="1:20" x14ac:dyDescent="0.15">
      <c r="A23" s="910"/>
      <c r="B23" s="911"/>
      <c r="C23" s="651"/>
      <c r="M23" s="906" t="str">
        <f t="shared" si="5"/>
        <v/>
      </c>
      <c r="N23" s="459">
        <f t="shared" si="0"/>
        <v>0</v>
      </c>
      <c r="O23" s="912"/>
      <c r="P23" s="908"/>
      <c r="Q23" s="641">
        <v>46</v>
      </c>
      <c r="R23" s="953">
        <f t="shared" si="2"/>
        <v>21.5</v>
      </c>
      <c r="S23" s="954">
        <f t="shared" si="3"/>
        <v>23.33</v>
      </c>
      <c r="T23" s="795">
        <f t="shared" si="4"/>
        <v>21.5</v>
      </c>
    </row>
    <row r="24" spans="1:20" x14ac:dyDescent="0.15">
      <c r="A24" s="910"/>
      <c r="B24" s="911"/>
      <c r="C24" s="651"/>
      <c r="M24" s="906" t="str">
        <f t="shared" si="5"/>
        <v/>
      </c>
      <c r="N24" s="459">
        <f t="shared" si="0"/>
        <v>0</v>
      </c>
      <c r="O24" s="912"/>
      <c r="P24" s="908"/>
      <c r="Q24" s="641">
        <v>48</v>
      </c>
      <c r="R24" s="953">
        <f t="shared" si="2"/>
        <v>21.7</v>
      </c>
      <c r="S24" s="954">
        <f t="shared" si="3"/>
        <v>23.57</v>
      </c>
      <c r="T24" s="795">
        <f t="shared" si="4"/>
        <v>21.7</v>
      </c>
    </row>
    <row r="25" spans="1:20" x14ac:dyDescent="0.15">
      <c r="A25" s="910"/>
      <c r="B25" s="911"/>
      <c r="C25" s="651"/>
      <c r="M25" s="906" t="str">
        <f t="shared" si="5"/>
        <v/>
      </c>
      <c r="N25" s="459">
        <f t="shared" si="0"/>
        <v>0</v>
      </c>
      <c r="O25" s="912"/>
      <c r="P25" s="908"/>
      <c r="Q25" s="641">
        <v>50</v>
      </c>
      <c r="R25" s="953">
        <f t="shared" si="2"/>
        <v>21.9</v>
      </c>
      <c r="S25" s="954">
        <f t="shared" si="3"/>
        <v>23.79</v>
      </c>
      <c r="T25" s="795">
        <f t="shared" si="4"/>
        <v>21.9</v>
      </c>
    </row>
    <row r="26" spans="1:20" x14ac:dyDescent="0.15">
      <c r="A26" s="910"/>
      <c r="B26" s="911"/>
      <c r="C26" s="651"/>
      <c r="M26" s="906" t="str">
        <f t="shared" si="5"/>
        <v/>
      </c>
      <c r="N26" s="459">
        <f t="shared" si="0"/>
        <v>0</v>
      </c>
      <c r="O26" s="912"/>
      <c r="P26" s="908"/>
      <c r="Q26" s="641">
        <v>52</v>
      </c>
      <c r="R26" s="953">
        <f t="shared" si="2"/>
        <v>22.2</v>
      </c>
      <c r="S26" s="954">
        <f t="shared" si="3"/>
        <v>24</v>
      </c>
      <c r="T26" s="795">
        <f t="shared" si="4"/>
        <v>22.2</v>
      </c>
    </row>
    <row r="27" spans="1:20" x14ac:dyDescent="0.15">
      <c r="A27" s="910"/>
      <c r="B27" s="911"/>
      <c r="C27" s="651"/>
      <c r="M27" s="906" t="str">
        <f t="shared" si="5"/>
        <v/>
      </c>
      <c r="N27" s="459">
        <f t="shared" si="0"/>
        <v>0</v>
      </c>
      <c r="O27" s="912"/>
      <c r="P27" s="908"/>
      <c r="Q27" s="641">
        <v>54</v>
      </c>
      <c r="R27" s="953">
        <f t="shared" si="2"/>
        <v>22.3</v>
      </c>
      <c r="S27" s="954">
        <f t="shared" si="3"/>
        <v>24.19</v>
      </c>
      <c r="T27" s="795">
        <f t="shared" si="4"/>
        <v>22.3</v>
      </c>
    </row>
    <row r="28" spans="1:20" x14ac:dyDescent="0.15">
      <c r="A28" s="910"/>
      <c r="B28" s="911"/>
      <c r="C28" s="651"/>
      <c r="M28" s="906" t="str">
        <f t="shared" si="5"/>
        <v/>
      </c>
      <c r="N28" s="459">
        <f t="shared" si="0"/>
        <v>0</v>
      </c>
      <c r="O28" s="912"/>
      <c r="P28" s="908"/>
      <c r="Q28" s="641">
        <v>56</v>
      </c>
      <c r="R28" s="953">
        <f t="shared" si="2"/>
        <v>22.5</v>
      </c>
      <c r="S28" s="954">
        <f t="shared" si="3"/>
        <v>24.37</v>
      </c>
      <c r="T28" s="795">
        <f t="shared" si="4"/>
        <v>22.5</v>
      </c>
    </row>
    <row r="29" spans="1:20" x14ac:dyDescent="0.15">
      <c r="A29" s="910"/>
      <c r="B29" s="911"/>
      <c r="C29" s="651"/>
      <c r="M29" s="906" t="str">
        <f t="shared" si="5"/>
        <v/>
      </c>
      <c r="N29" s="459">
        <f t="shared" si="0"/>
        <v>0</v>
      </c>
      <c r="O29" s="912"/>
      <c r="P29" s="908"/>
      <c r="Q29" s="641">
        <v>58</v>
      </c>
      <c r="R29" s="953">
        <f t="shared" si="2"/>
        <v>22.7</v>
      </c>
      <c r="S29" s="954">
        <f t="shared" si="3"/>
        <v>24.55</v>
      </c>
      <c r="T29" s="795">
        <f t="shared" si="4"/>
        <v>22.7</v>
      </c>
    </row>
    <row r="30" spans="1:20" ht="14.25" thickBot="1" x14ac:dyDescent="0.2">
      <c r="A30" s="913"/>
      <c r="B30" s="914"/>
      <c r="C30" s="651"/>
      <c r="M30" s="906" t="str">
        <f t="shared" si="5"/>
        <v/>
      </c>
      <c r="N30" s="459">
        <f t="shared" si="0"/>
        <v>0</v>
      </c>
      <c r="O30" s="915"/>
      <c r="P30" s="908"/>
      <c r="Q30" s="641">
        <v>60</v>
      </c>
      <c r="R30" s="953">
        <f t="shared" si="2"/>
        <v>22.9</v>
      </c>
      <c r="S30" s="954">
        <f t="shared" si="3"/>
        <v>24.71</v>
      </c>
      <c r="T30" s="795">
        <f t="shared" si="4"/>
        <v>22.9</v>
      </c>
    </row>
    <row r="31" spans="1:20" ht="15" thickTop="1" thickBot="1" x14ac:dyDescent="0.2">
      <c r="D31" s="444" t="s">
        <v>590</v>
      </c>
      <c r="E31" s="439" t="inlineStr">
        <is>
          <t>样本村</t>
        </is>
      </c>
      <c r="G31" s="439">
        <v>1</v>
      </c>
      <c r="H31" s="444" t="s">
        <v>591</v>
      </c>
      <c r="I31" s="439">
        <v>3</v>
      </c>
      <c r="J31" s="444" t="s">
        <v>592</v>
      </c>
      <c r="O31" s="915"/>
      <c r="P31" s="908"/>
      <c r="Q31" s="641">
        <v>62</v>
      </c>
      <c r="R31" s="953">
        <f t="shared" si="2"/>
        <v>23</v>
      </c>
      <c r="S31" s="954">
        <f t="shared" si="3"/>
        <v>24.86</v>
      </c>
      <c r="T31" s="795">
        <f t="shared" si="4"/>
        <v>23</v>
      </c>
    </row>
    <row r="32" spans="1:20" x14ac:dyDescent="0.15">
      <c r="G32" s="704" t="s">
        <v>14</v>
      </c>
      <c r="H32" s="916" t="s">
        <v>15</v>
      </c>
      <c r="I32" s="917">
        <f>I36</f>
        <v>28.37058237439399</v>
      </c>
      <c r="O32" s="915"/>
      <c r="P32" s="908"/>
      <c r="Q32" s="641">
        <v>64</v>
      </c>
      <c r="R32" s="953">
        <f t="shared" si="2"/>
        <v>23.2</v>
      </c>
      <c r="S32" s="954">
        <f t="shared" si="3"/>
        <v>25.01</v>
      </c>
      <c r="T32" s="795">
        <f>R32</f>
        <v>23.2</v>
      </c>
    </row>
    <row r="33" spans="1:20" x14ac:dyDescent="0.15">
      <c r="H33" s="918" t="s">
        <v>16</v>
      </c>
      <c r="I33" s="919">
        <f>I37</f>
        <v>385.40910000000002</v>
      </c>
      <c r="O33" s="915"/>
      <c r="P33" s="908"/>
      <c r="Q33" s="641">
        <v>66</v>
      </c>
      <c r="R33" s="953">
        <f t="shared" si="2"/>
        <v>23.3</v>
      </c>
      <c r="S33" s="954">
        <f t="shared" si="3"/>
        <v>25.14</v>
      </c>
      <c r="T33" s="795">
        <f t="shared" si="4"/>
        <v>23.3</v>
      </c>
    </row>
    <row r="34" spans="1:20" ht="17.100000000000001" customHeight="1" thickBot="1" x14ac:dyDescent="0.2">
      <c r="D34" s="439" t="s">
        <v>17</v>
      </c>
      <c r="F34" s="439" t="s">
        <v>18</v>
      </c>
      <c r="H34" s="920" t="s">
        <v>19</v>
      </c>
      <c r="I34" s="921">
        <f>I38</f>
        <v>10</v>
      </c>
      <c r="O34" s="915"/>
      <c r="P34" s="908"/>
      <c r="Q34" s="641">
        <v>68</v>
      </c>
      <c r="R34" s="953">
        <f t="shared" si="2"/>
        <v>23.4</v>
      </c>
      <c r="S34" s="954">
        <f t="shared" si="3"/>
        <v>25.27</v>
      </c>
      <c r="T34" s="795">
        <f t="shared" si="4"/>
        <v>23.4</v>
      </c>
    </row>
    <row r="35" spans="1:20" ht="21" customHeight="1" thickBot="1" x14ac:dyDescent="0.2">
      <c r="A35" s="439" t="s">
        <v>20</v>
      </c>
      <c r="L35" s="440" t="s">
        <v>596</v>
      </c>
      <c r="M35" s="480">
        <f>IF(INDEX(树高曲线1,1)=$M$1,INDEX(树高曲线1,3),
 IF(INDEX(树高曲线2,1)=$M$1,INDEX(树高曲线2,3),
 IF(INDEX(树高曲线3,1)=$M$1,INDEX(树高曲线3,3),
 IF(INDEX(树高曲线4,1)=$M$1,INDEX(树高曲线4,3),
 IF(INDEX(树高曲线5,1)=$M$1,INDEX(树高曲线5,3),"")))))</f>
        <v>38</v>
      </c>
      <c r="O35" s="922"/>
      <c r="P35" s="923"/>
      <c r="Q35" s="641">
        <v>70</v>
      </c>
      <c r="R35" s="955">
        <f t="shared" si="2"/>
        <v>23.6</v>
      </c>
      <c r="S35" s="956">
        <f t="shared" si="3"/>
        <v>25.4</v>
      </c>
      <c r="T35" s="795">
        <f t="shared" si="4"/>
        <v>23.6</v>
      </c>
    </row>
    <row r="36" spans="1:20" ht="14.25" thickBot="1" x14ac:dyDescent="0.2">
      <c r="A36" s="498" t="s">
        <v>8</v>
      </c>
      <c r="B36" s="498" t="s">
        <v>13</v>
      </c>
      <c r="C36" s="498"/>
      <c r="D36" s="498" t="s">
        <v>13</v>
      </c>
      <c r="E36" s="439" t="s">
        <v>21</v>
      </c>
      <c r="F36" s="439">
        <v>17.7</v>
      </c>
      <c r="G36" s="924"/>
      <c r="H36" s="925" t="s">
        <v>15</v>
      </c>
      <c r="I36" s="926">
        <f>O37</f>
        <v>28.37058237439399</v>
      </c>
      <c r="J36" s="927"/>
      <c r="K36" s="928" t="s">
        <v>15</v>
      </c>
      <c r="L36" s="929">
        <v>30.2034591358025</v>
      </c>
      <c r="M36" s="930"/>
    </row>
    <row r="37" spans="1:20" ht="14.25" thickBot="1" x14ac:dyDescent="0.2">
      <c r="A37" s="498">
        <v>6</v>
      </c>
      <c r="B37" s="931">
        <v>6</v>
      </c>
      <c r="C37" s="931"/>
      <c r="D37" s="931">
        <v>13</v>
      </c>
      <c r="G37" s="1613" t="s">
        <v>11</v>
      </c>
      <c r="H37" s="932" t="s">
        <v>16</v>
      </c>
      <c r="I37" s="933">
        <v>385.40910000000002</v>
      </c>
      <c r="J37" s="927"/>
      <c r="K37" s="928" t="s">
        <v>16</v>
      </c>
      <c r="L37" s="934">
        <v>385.40910000000002</v>
      </c>
      <c r="M37" s="935"/>
      <c r="N37" s="651" t="s">
        <v>22</v>
      </c>
      <c r="O37" s="936">
        <f>AVERAGE(O3:O22)</f>
        <v>28.37058237439399</v>
      </c>
      <c r="P37" s="701" t="s">
        <v>23</v>
      </c>
    </row>
    <row r="38" spans="1:20" ht="14.25" thickBot="1" x14ac:dyDescent="0.2">
      <c r="A38" s="498">
        <v>8</v>
      </c>
      <c r="B38" s="498">
        <v>7</v>
      </c>
      <c r="C38" s="498"/>
      <c r="D38" s="498">
        <v>14</v>
      </c>
      <c r="G38" s="1614"/>
      <c r="H38" s="937" t="s">
        <v>19</v>
      </c>
      <c r="I38" s="938">
        <v>10</v>
      </c>
      <c r="J38" s="927"/>
      <c r="K38" s="928" t="s">
        <v>19</v>
      </c>
      <c r="L38" s="939">
        <v>10</v>
      </c>
      <c r="M38" s="940"/>
      <c r="O38" s="941"/>
      <c r="P38" s="942"/>
      <c r="Q38" s="943" t="s">
        <v>587</v>
      </c>
      <c r="R38" s="944" t="s">
        <v>586</v>
      </c>
    </row>
    <row r="39" spans="1:20" ht="14.25" thickBot="1" x14ac:dyDescent="0.2">
      <c r="A39" s="498">
        <v>10</v>
      </c>
      <c r="B39" s="498">
        <v>8</v>
      </c>
      <c r="C39" s="498"/>
      <c r="D39" s="498">
        <v>15</v>
      </c>
      <c r="O39" s="945" t="s">
        <v>588</v>
      </c>
      <c r="P39" s="946" t="s">
        <v>583</v>
      </c>
      <c r="Q39" s="946">
        <v>27.3</v>
      </c>
      <c r="R39" s="562">
        <f>ROUND($I$32-$I$33/(Q39+$I$34),1)</f>
        <v>18</v>
      </c>
    </row>
    <row r="40" spans="1:20" ht="14.25" thickBot="1" x14ac:dyDescent="0.2">
      <c r="A40" s="498">
        <v>12</v>
      </c>
      <c r="B40" s="498">
        <v>9</v>
      </c>
      <c r="C40" s="498"/>
      <c r="D40" s="498">
        <v>16</v>
      </c>
      <c r="K40" s="651"/>
      <c r="O40" s="945" t="s">
        <v>582</v>
      </c>
      <c r="P40" s="947" t="s">
        <v>584</v>
      </c>
      <c r="Q40" s="946">
        <v>26</v>
      </c>
      <c r="R40" s="562">
        <f>ROUND($I$32-$I$33/(Q40+$I$34),1)</f>
        <v>17.7</v>
      </c>
    </row>
    <row r="41" spans="1:20" ht="14.25" thickBot="1" x14ac:dyDescent="0.2">
      <c r="A41" s="498">
        <v>14</v>
      </c>
      <c r="B41" s="498">
        <v>10</v>
      </c>
      <c r="C41" s="498"/>
      <c r="D41" s="498">
        <v>18</v>
      </c>
      <c r="O41" s="945" t="s">
        <v>582</v>
      </c>
      <c r="P41" s="948" t="s">
        <v>585</v>
      </c>
      <c r="Q41" s="467">
        <v>28.5</v>
      </c>
      <c r="R41" s="562">
        <f>IF(OR($Q$41=0, $Q$41=""), 0,ROUND( $I$32 - $I$33/($Q$41+$I$34),1))</f>
        <v>18.399999999999999</v>
      </c>
    </row>
    <row r="42" spans="1:20" x14ac:dyDescent="0.15">
      <c r="A42" s="498">
        <v>16</v>
      </c>
      <c r="B42" s="498">
        <v>11</v>
      </c>
      <c r="C42" s="498"/>
      <c r="D42" s="498">
        <v>19</v>
      </c>
    </row>
    <row r="43" spans="1:20" x14ac:dyDescent="0.15">
      <c r="A43" s="498">
        <v>18</v>
      </c>
      <c r="B43" s="498">
        <v>12</v>
      </c>
      <c r="C43" s="498"/>
      <c r="D43" s="498">
        <v>20</v>
      </c>
    </row>
    <row r="44" spans="1:20" x14ac:dyDescent="0.15">
      <c r="A44" s="498">
        <v>20</v>
      </c>
      <c r="B44" s="498">
        <v>12</v>
      </c>
      <c r="C44" s="498"/>
      <c r="D44" s="498">
        <v>21</v>
      </c>
    </row>
    <row r="45" spans="1:20" x14ac:dyDescent="0.15">
      <c r="A45" s="498">
        <v>22</v>
      </c>
      <c r="B45" s="498">
        <v>12</v>
      </c>
      <c r="C45" s="498"/>
      <c r="D45" s="498">
        <v>22</v>
      </c>
    </row>
    <row r="46" spans="1:20" x14ac:dyDescent="0.15">
      <c r="A46" s="498">
        <v>24</v>
      </c>
      <c r="B46" s="498">
        <v>13</v>
      </c>
      <c r="C46" s="498"/>
      <c r="D46" s="498">
        <v>23</v>
      </c>
    </row>
    <row r="47" spans="1:20" x14ac:dyDescent="0.15">
      <c r="A47" s="498">
        <v>26</v>
      </c>
      <c r="B47" s="498">
        <v>13</v>
      </c>
      <c r="C47" s="498"/>
      <c r="D47" s="498">
        <v>23</v>
      </c>
    </row>
    <row r="48" spans="1:20" x14ac:dyDescent="0.15">
      <c r="A48" s="498">
        <v>28</v>
      </c>
      <c r="B48" s="498">
        <v>13</v>
      </c>
      <c r="C48" s="498"/>
      <c r="D48" s="498">
        <v>24</v>
      </c>
    </row>
    <row r="49" spans="1:4" x14ac:dyDescent="0.15">
      <c r="A49" s="498">
        <v>30</v>
      </c>
      <c r="B49" s="498">
        <v>13</v>
      </c>
      <c r="C49" s="498"/>
      <c r="D49" s="498">
        <v>25</v>
      </c>
    </row>
    <row r="50" spans="1:4" x14ac:dyDescent="0.15">
      <c r="A50" s="498">
        <v>32</v>
      </c>
      <c r="B50" s="498">
        <v>14</v>
      </c>
      <c r="C50" s="498"/>
      <c r="D50" s="498">
        <v>25</v>
      </c>
    </row>
    <row r="51" spans="1:4" x14ac:dyDescent="0.15">
      <c r="A51" s="498">
        <v>34</v>
      </c>
      <c r="B51" s="498">
        <v>14</v>
      </c>
      <c r="C51" s="498"/>
      <c r="D51" s="498">
        <v>25</v>
      </c>
    </row>
    <row r="52" spans="1:4" x14ac:dyDescent="0.15">
      <c r="A52" s="498">
        <v>36</v>
      </c>
      <c r="B52" s="498">
        <v>14</v>
      </c>
      <c r="C52" s="498"/>
      <c r="D52" s="498">
        <v>26</v>
      </c>
    </row>
    <row r="53" spans="1:4" x14ac:dyDescent="0.15">
      <c r="A53" s="498">
        <v>38</v>
      </c>
      <c r="B53" s="498">
        <v>15</v>
      </c>
      <c r="C53" s="498"/>
      <c r="D53" s="498">
        <v>26</v>
      </c>
    </row>
    <row r="54" spans="1:4" x14ac:dyDescent="0.15">
      <c r="A54" s="498">
        <v>40</v>
      </c>
      <c r="B54" s="498">
        <v>15</v>
      </c>
      <c r="C54" s="498"/>
      <c r="D54" s="498">
        <v>26</v>
      </c>
    </row>
  </sheetData>
  <sheetProtection algorithmName="SHA-512" hashValue="gLtaP2zHzDky7LbHRdNAr3xJhB6EFvLHH+28BGInwnayYOWV/3es4xVIXHhweapiBIjriE/fXCQH8taCtpR1SQ==" saltValue="7ME8jz8xvf/2O2e8FGuvKQ==" spinCount="100000" sheet="1" scenarios="1" selectLockedCells="1"/>
  <mergeCells count="2">
    <mergeCell ref="G37:G38"/>
    <mergeCell ref="R1:S1"/>
  </mergeCells>
  <phoneticPr fontId="93" type="noConversion"/>
  <pageMargins left="0.70069444444444495" right="0.70069444444444495" top="0.35763888888888901" bottom="0.35763888888888901" header="0.29861111111111099" footer="0.29861111111111099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Q34"/>
  <sheetViews>
    <sheetView workbookViewId="0">
      <selection activeCell="I37" sqref="I37"/>
    </sheetView>
  </sheetViews>
  <sheetFormatPr defaultColWidth="9" defaultRowHeight="13.5" x14ac:dyDescent="0.15"/>
  <cols>
    <col min="1" max="1" width="6.125" style="4" customWidth="1"/>
    <col min="2" max="15" width="9" style="4"/>
    <col min="16" max="16" width="9.5" style="4" customWidth="1"/>
    <col min="17" max="16384" width="9" style="4"/>
  </cols>
  <sheetData>
    <row r="1" spans="1:17" x14ac:dyDescent="0.15">
      <c r="A1" s="19" t="s">
        <v>24</v>
      </c>
      <c r="B1" s="69" t="str">
        <f>树种材积库输入!B1</f>
        <v>欧美杨</v>
      </c>
      <c r="C1" s="69" t="str">
        <f>树种材积库输入!C1</f>
        <v>杨树</v>
      </c>
      <c r="D1" s="69" t="str">
        <f>树种材积库输入!D1</f>
        <v>柳树</v>
      </c>
      <c r="E1" s="69" t="str">
        <f>树种材积库输入!E1</f>
        <v>刺槐</v>
      </c>
      <c r="F1" s="69" t="str">
        <f>树种材积库输入!F1</f>
        <v>榆树</v>
      </c>
      <c r="G1" s="69" t="str">
        <f>树种材积库输入!G1</f>
        <v>杂木</v>
      </c>
      <c r="H1" s="69" t="str">
        <f>树种材积库输入!H1</f>
        <v>油松</v>
      </c>
      <c r="I1" s="69" t="str">
        <f>树种材积库输入!I1</f>
        <v>无</v>
      </c>
      <c r="J1" s="69">
        <f>树种材积库输入!J1</f>
        <v>0</v>
      </c>
      <c r="K1" s="69">
        <f>树种材积库输入!K1</f>
        <v>0</v>
      </c>
      <c r="L1" s="69">
        <f>树种材积库输入!L1</f>
        <v>0</v>
      </c>
      <c r="M1" s="69">
        <f>树种材积库输入!M1</f>
        <v>0</v>
      </c>
      <c r="N1" s="69">
        <f>树种材积库输入!N1</f>
        <v>0</v>
      </c>
      <c r="O1" s="69">
        <f>树种材积库输入!O1</f>
        <v>0</v>
      </c>
      <c r="P1" s="69" t="str">
        <f>树种材积库输入!P1</f>
        <v>杨采用树高</v>
      </c>
    </row>
    <row r="2" spans="1:17" x14ac:dyDescent="0.15">
      <c r="A2" s="19">
        <v>6</v>
      </c>
      <c r="B2" s="69" t="str">
        <f>树种材积库输入!B2</f>
        <v>0.0075</v>
      </c>
      <c r="C2" s="69">
        <f>树种材积库输入!C2</f>
        <v>8.3999999999999995E-3</v>
      </c>
      <c r="D2" s="69">
        <f>树种材积库输入!D2</f>
        <v>8.3999999999999995E-3</v>
      </c>
      <c r="E2" s="69">
        <f>树种材积库输入!E2</f>
        <v>9.1000000000000004E-3</v>
      </c>
      <c r="F2" s="69">
        <f>树种材积库输入!F2</f>
        <v>8.8999999999999999E-3</v>
      </c>
      <c r="G2" s="69">
        <f>树种材积库输入!G2</f>
        <v>8.8999999999999999E-3</v>
      </c>
      <c r="H2" s="69">
        <f>树种材积库输入!H2</f>
        <v>6.7999999999999996E-3</v>
      </c>
      <c r="I2" s="69">
        <f>树种材积库输入!I2</f>
        <v>0</v>
      </c>
      <c r="J2" s="69">
        <f>树种材积库输入!J2</f>
        <v>0</v>
      </c>
      <c r="K2" s="69">
        <f>树种材积库输入!K2</f>
        <v>0</v>
      </c>
      <c r="L2" s="69">
        <f>树种材积库输入!L2</f>
        <v>0</v>
      </c>
      <c r="M2" s="69">
        <f>树种材积库输入!M2</f>
        <v>0</v>
      </c>
      <c r="N2" s="69">
        <f>树种材积库输入!N2</f>
        <v>0</v>
      </c>
      <c r="O2" s="69">
        <f>树种材积库输入!O2</f>
        <v>0</v>
      </c>
      <c r="P2" s="69">
        <f>树种材积库输入!P2</f>
        <v>4.3</v>
      </c>
      <c r="Q2" s="44"/>
    </row>
    <row r="3" spans="1:17" x14ac:dyDescent="0.15">
      <c r="A3" s="19">
        <v>8</v>
      </c>
      <c r="B3" s="69" t="str">
        <f>树种材积库输入!B3</f>
        <v>0.0201</v>
      </c>
      <c r="C3" s="69">
        <f>树种材积库输入!C3</f>
        <v>1.3299999999999999E-2</v>
      </c>
      <c r="D3" s="69">
        <f>树种材积库输入!D3</f>
        <v>1.3299999999999999E-2</v>
      </c>
      <c r="E3" s="69">
        <f>树种材积库输入!E3</f>
        <v>1.9099999999999999E-2</v>
      </c>
      <c r="F3" s="69">
        <f>树种材积库输入!F3</f>
        <v>1.95E-2</v>
      </c>
      <c r="G3" s="69">
        <f>树种材积库输入!G3</f>
        <v>1.95E-2</v>
      </c>
      <c r="H3" s="69">
        <f>树种材积库输入!H3</f>
        <v>1.54E-2</v>
      </c>
      <c r="I3" s="69">
        <f>树种材积库输入!I3</f>
        <v>0</v>
      </c>
      <c r="J3" s="69">
        <f>树种材积库输入!J3</f>
        <v>0</v>
      </c>
      <c r="K3" s="69">
        <f>树种材积库输入!K3</f>
        <v>0</v>
      </c>
      <c r="L3" s="69">
        <f>树种材积库输入!L3</f>
        <v>0</v>
      </c>
      <c r="M3" s="69">
        <f>树种材积库输入!M3</f>
        <v>0</v>
      </c>
      <c r="N3" s="69">
        <f>树种材积库输入!N3</f>
        <v>0</v>
      </c>
      <c r="O3" s="69">
        <f>树种材积库输入!O3</f>
        <v>0</v>
      </c>
      <c r="P3" s="69">
        <f>树种材积库输入!P3</f>
        <v>7</v>
      </c>
      <c r="Q3" s="44"/>
    </row>
    <row r="4" spans="1:17" x14ac:dyDescent="0.15">
      <c r="A4" s="19">
        <v>10</v>
      </c>
      <c r="B4" s="69" t="str">
        <f>树种材积库输入!B4</f>
        <v>0.0392</v>
      </c>
      <c r="C4" s="69">
        <f>树种材积库输入!C4</f>
        <v>3.5900000000000001E-2</v>
      </c>
      <c r="D4" s="69">
        <f>树种材积库输入!D4</f>
        <v>3.5900000000000001E-2</v>
      </c>
      <c r="E4" s="69">
        <f>树种材积库输入!E4</f>
        <v>3.3599999999999998E-2</v>
      </c>
      <c r="F4" s="69">
        <f>树种材积库输入!F4</f>
        <v>3.5200000000000002E-2</v>
      </c>
      <c r="G4" s="69">
        <f>树种材积库输入!G4</f>
        <v>3.5200000000000002E-2</v>
      </c>
      <c r="H4" s="69">
        <f>树种材积库输入!H4</f>
        <v>2.8500000000000001E-2</v>
      </c>
      <c r="I4" s="69">
        <f>树种材积库输入!I4</f>
        <v>0</v>
      </c>
      <c r="J4" s="69">
        <f>树种材积库输入!J4</f>
        <v>0</v>
      </c>
      <c r="K4" s="69">
        <f>树种材积库输入!K4</f>
        <v>0</v>
      </c>
      <c r="L4" s="69">
        <f>树种材积库输入!L4</f>
        <v>0</v>
      </c>
      <c r="M4" s="69">
        <f>树种材积库输入!M4</f>
        <v>0</v>
      </c>
      <c r="N4" s="69">
        <f>树种材积库输入!N4</f>
        <v>0</v>
      </c>
      <c r="O4" s="69">
        <f>树种材积库输入!O4</f>
        <v>0</v>
      </c>
      <c r="P4" s="69">
        <f>树种材积库输入!P4</f>
        <v>9.1</v>
      </c>
      <c r="Q4" s="44"/>
    </row>
    <row r="5" spans="1:17" x14ac:dyDescent="0.15">
      <c r="A5" s="19">
        <v>12</v>
      </c>
      <c r="B5" s="69" t="str">
        <f>树种材积库输入!B5</f>
        <v>0.0657</v>
      </c>
      <c r="C5" s="69">
        <f>树种材积库输入!C5</f>
        <v>5.7599999999999998E-2</v>
      </c>
      <c r="D5" s="69">
        <f>树种材积库输入!D5</f>
        <v>5.7599999999999998E-2</v>
      </c>
      <c r="E5" s="69">
        <f>树种材积库输入!E5</f>
        <v>5.2600000000000001E-2</v>
      </c>
      <c r="F5" s="69">
        <f>树种材积库输入!F5</f>
        <v>5.6300000000000003E-2</v>
      </c>
      <c r="G5" s="69">
        <f>树种材积库输入!G5</f>
        <v>5.6300000000000003E-2</v>
      </c>
      <c r="H5" s="69">
        <f>树种材积库输入!H5</f>
        <v>4.6600000000000003E-2</v>
      </c>
      <c r="I5" s="69">
        <f>树种材积库输入!I5</f>
        <v>0</v>
      </c>
      <c r="J5" s="69">
        <f>树种材积库输入!J5</f>
        <v>0</v>
      </c>
      <c r="K5" s="69">
        <f>树种材积库输入!K5</f>
        <v>0</v>
      </c>
      <c r="L5" s="69">
        <f>树种材积库输入!L5</f>
        <v>0</v>
      </c>
      <c r="M5" s="69">
        <f>树种材积库输入!M5</f>
        <v>0</v>
      </c>
      <c r="N5" s="69">
        <f>树种材积库输入!N5</f>
        <v>0</v>
      </c>
      <c r="O5" s="69">
        <f>树种材积库输入!O5</f>
        <v>0</v>
      </c>
      <c r="P5" s="69">
        <f>树种材积库输入!P5</f>
        <v>10.9</v>
      </c>
      <c r="Q5" s="44"/>
    </row>
    <row r="6" spans="1:17" x14ac:dyDescent="0.15">
      <c r="A6" s="19">
        <v>14</v>
      </c>
      <c r="B6" s="69" t="str">
        <f>树种材积库输入!B6</f>
        <v>0.0989</v>
      </c>
      <c r="C6" s="69">
        <f>树种材积库输入!C6</f>
        <v>8.4599999999999995E-2</v>
      </c>
      <c r="D6" s="69">
        <f>树种材积库输入!D6</f>
        <v>8.4599999999999995E-2</v>
      </c>
      <c r="E6" s="69">
        <f>树种材积库输入!E6</f>
        <v>7.6399999999999996E-2</v>
      </c>
      <c r="F6" s="69">
        <f>树种材积库输入!F6</f>
        <v>8.3199999999999996E-2</v>
      </c>
      <c r="G6" s="69">
        <f>树种材积库输入!G6</f>
        <v>8.3199999999999996E-2</v>
      </c>
      <c r="H6" s="69">
        <f>树种材积库输入!H6</f>
        <v>7.0300000000000001E-2</v>
      </c>
      <c r="I6" s="69">
        <f>树种材积库输入!I6</f>
        <v>0</v>
      </c>
      <c r="J6" s="69">
        <f>树种材积库输入!J6</f>
        <v>0</v>
      </c>
      <c r="K6" s="69">
        <f>树种材积库输入!K6</f>
        <v>0</v>
      </c>
      <c r="L6" s="69">
        <f>树种材积库输入!L6</f>
        <v>0</v>
      </c>
      <c r="M6" s="69">
        <f>树种材积库输入!M6</f>
        <v>0</v>
      </c>
      <c r="N6" s="69">
        <f>树种材积库输入!N6</f>
        <v>0</v>
      </c>
      <c r="O6" s="69">
        <f>树种材积库输入!O6</f>
        <v>0</v>
      </c>
      <c r="P6" s="69">
        <f>树种材积库输入!P6</f>
        <v>12.3</v>
      </c>
      <c r="Q6" s="44"/>
    </row>
    <row r="7" spans="1:17" x14ac:dyDescent="0.15">
      <c r="A7" s="19">
        <v>16</v>
      </c>
      <c r="B7" s="69" t="str">
        <f>树种材积库输入!B7</f>
        <v>0.1397</v>
      </c>
      <c r="C7" s="69">
        <f>树种材积库输入!C7</f>
        <v>0.1171</v>
      </c>
      <c r="D7" s="69">
        <f>树种材积库输入!D7</f>
        <v>0.1171</v>
      </c>
      <c r="E7" s="69">
        <f>树种材积库输入!E7</f>
        <v>0.1051</v>
      </c>
      <c r="F7" s="69">
        <f>树种材积库输入!F7</f>
        <v>0.11600000000000001</v>
      </c>
      <c r="G7" s="69">
        <f>树种材积库输入!G7</f>
        <v>0.11600000000000001</v>
      </c>
      <c r="H7" s="69">
        <f>树种材积库输入!H7</f>
        <v>9.9699999999999997E-2</v>
      </c>
      <c r="I7" s="69">
        <f>树种材积库输入!I7</f>
        <v>0</v>
      </c>
      <c r="J7" s="69">
        <f>树种材积库输入!J7</f>
        <v>0</v>
      </c>
      <c r="K7" s="69">
        <f>树种材积库输入!K7</f>
        <v>0</v>
      </c>
      <c r="L7" s="69">
        <f>树种材积库输入!L7</f>
        <v>0</v>
      </c>
      <c r="M7" s="69">
        <f>树种材积库输入!M7</f>
        <v>0</v>
      </c>
      <c r="N7" s="69">
        <f>树种材积库输入!N7</f>
        <v>0</v>
      </c>
      <c r="O7" s="69">
        <f>树种材积库输入!O7</f>
        <v>0</v>
      </c>
      <c r="P7" s="69">
        <f>树种材积库输入!P7</f>
        <v>13.5</v>
      </c>
      <c r="Q7" s="44"/>
    </row>
    <row r="8" spans="1:17" x14ac:dyDescent="0.15">
      <c r="A8" s="19">
        <v>18</v>
      </c>
      <c r="B8" s="69" t="str">
        <f>树种材积库输入!B8</f>
        <v>0.1891</v>
      </c>
      <c r="C8" s="69">
        <f>树种材积库输入!C8</f>
        <v>0.155</v>
      </c>
      <c r="D8" s="69">
        <f>树种材积库输入!D8</f>
        <v>0.155</v>
      </c>
      <c r="E8" s="69">
        <f>树种材积库输入!E8</f>
        <v>0.1386</v>
      </c>
      <c r="F8" s="69">
        <f>树种材积库输入!F8</f>
        <v>0.15490000000000001</v>
      </c>
      <c r="G8" s="69">
        <f>树种材积库输入!G8</f>
        <v>0.15490000000000001</v>
      </c>
      <c r="H8" s="69">
        <f>树种材积库输入!H8</f>
        <v>0.13519999999999999</v>
      </c>
      <c r="I8" s="69">
        <f>树种材积库输入!I8</f>
        <v>0</v>
      </c>
      <c r="J8" s="69">
        <f>树种材积库输入!J8</f>
        <v>0</v>
      </c>
      <c r="K8" s="69">
        <f>树种材积库输入!K8</f>
        <v>0</v>
      </c>
      <c r="L8" s="69">
        <f>树种材积库输入!L8</f>
        <v>0</v>
      </c>
      <c r="M8" s="69">
        <f>树种材积库输入!M8</f>
        <v>0</v>
      </c>
      <c r="N8" s="69">
        <f>树种材积库输入!N8</f>
        <v>0</v>
      </c>
      <c r="O8" s="69">
        <f>树种材积库输入!O8</f>
        <v>0</v>
      </c>
      <c r="P8" s="69">
        <f>树种材积库输入!P8</f>
        <v>14.6</v>
      </c>
      <c r="Q8" s="44"/>
    </row>
    <row r="9" spans="1:17" x14ac:dyDescent="0.15">
      <c r="A9" s="19">
        <v>20</v>
      </c>
      <c r="B9" s="69" t="str">
        <f>树种材积库输入!B9</f>
        <v>0.2456</v>
      </c>
      <c r="C9" s="69">
        <f>树种材积库输入!C9</f>
        <v>0.19839999999999999</v>
      </c>
      <c r="D9" s="69">
        <f>树种材积库输入!D9</f>
        <v>0.19839999999999999</v>
      </c>
      <c r="E9" s="69">
        <f>树种材积库输入!E9</f>
        <v>0.1772</v>
      </c>
      <c r="F9" s="69">
        <f>树种材积库输入!F9</f>
        <v>0.19989999999999999</v>
      </c>
      <c r="G9" s="69">
        <f>树种材积库输入!G9</f>
        <v>0.19989999999999999</v>
      </c>
      <c r="H9" s="69">
        <f>树种材积库输入!H9</f>
        <v>0.1769</v>
      </c>
      <c r="I9" s="69">
        <f>树种材积库输入!I9</f>
        <v>0</v>
      </c>
      <c r="J9" s="69">
        <f>树种材积库输入!J9</f>
        <v>0</v>
      </c>
      <c r="K9" s="69">
        <f>树种材积库输入!K9</f>
        <v>0</v>
      </c>
      <c r="L9" s="69">
        <f>树种材积库输入!L9</f>
        <v>0</v>
      </c>
      <c r="M9" s="69">
        <f>树种材积库输入!M9</f>
        <v>0</v>
      </c>
      <c r="N9" s="69">
        <f>树种材积库输入!N9</f>
        <v>0</v>
      </c>
      <c r="O9" s="69">
        <f>树种材积库输入!O9</f>
        <v>0</v>
      </c>
      <c r="P9" s="69">
        <f>树种材积库输入!P9</f>
        <v>15.5</v>
      </c>
      <c r="Q9" s="44"/>
    </row>
    <row r="10" spans="1:17" x14ac:dyDescent="0.15">
      <c r="A10" s="19">
        <v>22</v>
      </c>
      <c r="B10" s="69" t="str">
        <f>树种材积库输入!B10</f>
        <v>0.3103</v>
      </c>
      <c r="C10" s="69">
        <f>树种材积库输入!C10</f>
        <v>0.24709999999999999</v>
      </c>
      <c r="D10" s="69">
        <f>树种材积库输入!D10</f>
        <v>0.24709999999999999</v>
      </c>
      <c r="E10" s="69">
        <f>树种材积库输入!E10</f>
        <v>0.22070000000000001</v>
      </c>
      <c r="F10" s="69">
        <f>树种材积库输入!F10</f>
        <v>0.2447</v>
      </c>
      <c r="G10" s="69">
        <f>树种材积库输入!G10</f>
        <v>0.2447</v>
      </c>
      <c r="H10" s="69">
        <f>树种材积库输入!H10</f>
        <v>0.22500000000000001</v>
      </c>
      <c r="I10" s="69">
        <f>树种材积库输入!I10</f>
        <v>0</v>
      </c>
      <c r="J10" s="69">
        <f>树种材积库输入!J10</f>
        <v>0</v>
      </c>
      <c r="K10" s="69">
        <f>树种材积库输入!K10</f>
        <v>0</v>
      </c>
      <c r="L10" s="69">
        <f>树种材积库输入!L10</f>
        <v>0</v>
      </c>
      <c r="M10" s="69">
        <f>树种材积库输入!M10</f>
        <v>0</v>
      </c>
      <c r="N10" s="69">
        <f>树种材积库输入!N10</f>
        <v>0</v>
      </c>
      <c r="O10" s="69">
        <f>树种材积库输入!O10</f>
        <v>0</v>
      </c>
      <c r="P10" s="69">
        <f>树种材积库输入!P10</f>
        <v>16.3</v>
      </c>
      <c r="Q10" s="44"/>
    </row>
    <row r="11" spans="1:17" x14ac:dyDescent="0.15">
      <c r="A11" s="19">
        <v>24</v>
      </c>
      <c r="B11" s="69" t="str">
        <f>树种材积库输入!B11</f>
        <v>0.3829</v>
      </c>
      <c r="C11" s="69">
        <f>树种材积库输入!C11</f>
        <v>0.30120000000000002</v>
      </c>
      <c r="D11" s="69">
        <f>树种材积库输入!D11</f>
        <v>0.30120000000000002</v>
      </c>
      <c r="E11" s="69">
        <f>树种材积库输入!E11</f>
        <v>0.26919999999999999</v>
      </c>
      <c r="F11" s="69">
        <f>树种材积库输入!F11</f>
        <v>0.3085</v>
      </c>
      <c r="G11" s="69">
        <f>树种材积库输入!G11</f>
        <v>0.3085</v>
      </c>
      <c r="H11" s="69">
        <f>树种材积库输入!H11</f>
        <v>0.2797</v>
      </c>
      <c r="I11" s="69">
        <f>树种材积库输入!I11</f>
        <v>0</v>
      </c>
      <c r="J11" s="69">
        <f>树种材积库输入!J11</f>
        <v>0</v>
      </c>
      <c r="K11" s="69">
        <f>树种材积库输入!K11</f>
        <v>0</v>
      </c>
      <c r="L11" s="69">
        <f>树种材积库输入!L11</f>
        <v>0</v>
      </c>
      <c r="M11" s="69">
        <f>树种材积库输入!M11</f>
        <v>0</v>
      </c>
      <c r="N11" s="69">
        <f>树种材积库输入!N11</f>
        <v>0</v>
      </c>
      <c r="O11" s="69">
        <f>树种材积库输入!O11</f>
        <v>0</v>
      </c>
      <c r="P11" s="69">
        <f>树种材积库输入!P11</f>
        <v>17</v>
      </c>
      <c r="Q11" s="44"/>
    </row>
    <row r="12" spans="1:17" x14ac:dyDescent="0.15">
      <c r="A12" s="19">
        <v>26</v>
      </c>
      <c r="B12" s="69" t="str">
        <f>树种材积库输入!B12</f>
        <v>0.4656</v>
      </c>
      <c r="C12" s="69">
        <f>树种材积库输入!C12</f>
        <v>0.36059999999999998</v>
      </c>
      <c r="D12" s="69">
        <f>树种材积库输入!D12</f>
        <v>0.36059999999999998</v>
      </c>
      <c r="E12" s="69">
        <f>树种材积库输入!E12</f>
        <v>0.32279999999999998</v>
      </c>
      <c r="F12" s="69">
        <f>树种材积库输入!F12</f>
        <v>0.37209999999999999</v>
      </c>
      <c r="G12" s="69">
        <f>树种材积库输入!G12</f>
        <v>0.37209999999999999</v>
      </c>
      <c r="H12" s="69">
        <f>树种材积库输入!H12</f>
        <v>0.34100000000000003</v>
      </c>
      <c r="I12" s="69">
        <f>树种材积库输入!I12</f>
        <v>0</v>
      </c>
      <c r="J12" s="69">
        <f>树种材积库输入!J12</f>
        <v>0</v>
      </c>
      <c r="K12" s="69">
        <f>树种材积库输入!K12</f>
        <v>0</v>
      </c>
      <c r="L12" s="69">
        <f>树种材积库输入!L12</f>
        <v>0</v>
      </c>
      <c r="M12" s="69">
        <f>树种材积库输入!M12</f>
        <v>0</v>
      </c>
      <c r="N12" s="69">
        <f>树种材积库输入!N12</f>
        <v>0</v>
      </c>
      <c r="O12" s="69">
        <f>树种材积库输入!O12</f>
        <v>0</v>
      </c>
      <c r="P12" s="69">
        <f>树种材积库输入!P12</f>
        <v>17.7</v>
      </c>
      <c r="Q12" s="44"/>
    </row>
    <row r="13" spans="1:17" x14ac:dyDescent="0.15">
      <c r="A13" s="19">
        <v>28</v>
      </c>
      <c r="B13" s="69" t="str">
        <f>树种材积库输入!B13</f>
        <v>0.5530</v>
      </c>
      <c r="C13" s="69">
        <f>树种材积库输入!C13</f>
        <v>0.42530000000000001</v>
      </c>
      <c r="D13" s="69">
        <f>树种材积库输入!D13</f>
        <v>0.42530000000000001</v>
      </c>
      <c r="E13" s="69">
        <f>树种材积库输入!E13</f>
        <v>0.38129999999999997</v>
      </c>
      <c r="F13" s="69">
        <f>树种材积库输入!F13</f>
        <v>0.442</v>
      </c>
      <c r="G13" s="69">
        <f>树种材积库输入!G13</f>
        <v>0.442</v>
      </c>
      <c r="H13" s="69">
        <f>树种材积库输入!H13</f>
        <v>0.40920000000000001</v>
      </c>
      <c r="I13" s="69">
        <f>树种材积库输入!I13</f>
        <v>0</v>
      </c>
      <c r="J13" s="69">
        <f>树种材积库输入!J13</f>
        <v>0</v>
      </c>
      <c r="K13" s="69">
        <f>树种材积库输入!K13</f>
        <v>0</v>
      </c>
      <c r="L13" s="69">
        <f>树种材积库输入!L13</f>
        <v>0</v>
      </c>
      <c r="M13" s="69">
        <f>树种材积库输入!M13</f>
        <v>0</v>
      </c>
      <c r="N13" s="69">
        <f>树种材积库输入!N13</f>
        <v>0</v>
      </c>
      <c r="O13" s="69">
        <f>树种材积库输入!O13</f>
        <v>0</v>
      </c>
      <c r="P13" s="69">
        <f>树种材积库输入!P13</f>
        <v>18.2</v>
      </c>
      <c r="Q13" s="44"/>
    </row>
    <row r="14" spans="1:17" x14ac:dyDescent="0.15">
      <c r="A14" s="19">
        <v>30</v>
      </c>
      <c r="B14" s="69" t="str">
        <f>树种材积库输入!B14</f>
        <v>0.6499</v>
      </c>
      <c r="C14" s="69">
        <f>树种材积库输入!C14</f>
        <v>0.49540000000000001</v>
      </c>
      <c r="D14" s="69">
        <f>树种材积库输入!D14</f>
        <v>0.49540000000000001</v>
      </c>
      <c r="E14" s="69">
        <f>树种材积库输入!E14</f>
        <v>0.44490000000000002</v>
      </c>
      <c r="F14" s="69">
        <f>树种材积库输入!F14</f>
        <v>0.51819999999999999</v>
      </c>
      <c r="G14" s="69">
        <f>树种材积库输入!G14</f>
        <v>0.51819999999999999</v>
      </c>
      <c r="H14" s="69">
        <f>树种材积库输入!H14</f>
        <v>0.48420000000000002</v>
      </c>
      <c r="I14" s="69">
        <f>树种材积库输入!I14</f>
        <v>0</v>
      </c>
      <c r="J14" s="69">
        <f>树种材积库输入!J14</f>
        <v>0</v>
      </c>
      <c r="K14" s="69">
        <f>树种材积库输入!K14</f>
        <v>0</v>
      </c>
      <c r="L14" s="69">
        <f>树种材积库输入!L14</f>
        <v>0</v>
      </c>
      <c r="M14" s="69">
        <f>树种材积库输入!M14</f>
        <v>0</v>
      </c>
      <c r="N14" s="69">
        <f>树种材积库输入!N14</f>
        <v>0</v>
      </c>
      <c r="O14" s="69">
        <f>树种材积库输入!O14</f>
        <v>0</v>
      </c>
      <c r="P14" s="69">
        <f>树种材积库输入!P14</f>
        <v>18.7</v>
      </c>
      <c r="Q14" s="44"/>
    </row>
    <row r="15" spans="1:17" x14ac:dyDescent="0.15">
      <c r="A15" s="19">
        <v>32</v>
      </c>
      <c r="B15" s="69" t="str">
        <f>树种材积库输入!B15</f>
        <v>0.7569</v>
      </c>
      <c r="C15" s="69">
        <f>树种材积库输入!C15</f>
        <v>0.57069999999999999</v>
      </c>
      <c r="D15" s="69">
        <f>树种材积库输入!D15</f>
        <v>0.57069999999999999</v>
      </c>
      <c r="E15" s="69">
        <f>树种材积库输入!E15</f>
        <v>0.51339999999999997</v>
      </c>
      <c r="F15" s="69">
        <f>树种材积库输入!F15</f>
        <v>0.60060000000000002</v>
      </c>
      <c r="G15" s="69">
        <f>树种材积库输入!G15</f>
        <v>0.60060000000000002</v>
      </c>
      <c r="H15" s="69">
        <f>树种材积库输入!H15</f>
        <v>0.56610000000000005</v>
      </c>
      <c r="I15" s="69">
        <f>树种材积库输入!I15</f>
        <v>0</v>
      </c>
      <c r="J15" s="69">
        <f>树种材积库输入!J15</f>
        <v>0</v>
      </c>
      <c r="K15" s="69">
        <f>树种材积库输入!K15</f>
        <v>0</v>
      </c>
      <c r="L15" s="69">
        <f>树种材积库输入!L15</f>
        <v>0</v>
      </c>
      <c r="M15" s="69">
        <f>树种材积库输入!M15</f>
        <v>0</v>
      </c>
      <c r="N15" s="69">
        <f>树种材积库输入!N15</f>
        <v>0</v>
      </c>
      <c r="O15" s="69">
        <f>树种材积库输入!O15</f>
        <v>0</v>
      </c>
      <c r="P15" s="69">
        <f>树种材积库输入!P15</f>
        <v>19.2</v>
      </c>
      <c r="Q15" s="44"/>
    </row>
    <row r="16" spans="1:17" x14ac:dyDescent="0.15">
      <c r="A16" s="19">
        <v>34</v>
      </c>
      <c r="B16" s="69" t="str">
        <f>树种材积库输入!B16</f>
        <v>0.8699</v>
      </c>
      <c r="C16" s="69">
        <f>树种材积库输入!C16</f>
        <v>0.6512</v>
      </c>
      <c r="D16" s="69">
        <f>树种材积库输入!D16</f>
        <v>0.6512</v>
      </c>
      <c r="E16" s="69">
        <f>树种材积库输入!E16</f>
        <v>0.58699999999999997</v>
      </c>
      <c r="F16" s="69">
        <f>树种材积库输入!F16</f>
        <v>0.68930000000000002</v>
      </c>
      <c r="G16" s="69">
        <f>树种材积库输入!G16</f>
        <v>0.68930000000000002</v>
      </c>
      <c r="H16" s="69">
        <f>树种材积库输入!H16</f>
        <v>0.65500000000000003</v>
      </c>
      <c r="I16" s="69">
        <f>树种材积库输入!I16</f>
        <v>0</v>
      </c>
      <c r="J16" s="69">
        <f>树种材积库输入!J16</f>
        <v>0</v>
      </c>
      <c r="K16" s="69">
        <f>树种材积库输入!K16</f>
        <v>0</v>
      </c>
      <c r="L16" s="69">
        <f>树种材积库输入!L16</f>
        <v>0</v>
      </c>
      <c r="M16" s="69">
        <f>树种材积库输入!M16</f>
        <v>0</v>
      </c>
      <c r="N16" s="69">
        <f>树种材积库输入!N16</f>
        <v>0</v>
      </c>
      <c r="O16" s="69">
        <f>树种材积库输入!O16</f>
        <v>0</v>
      </c>
      <c r="P16" s="69">
        <f>树种材积库输入!P16</f>
        <v>19.600000000000001</v>
      </c>
      <c r="Q16" s="44"/>
    </row>
    <row r="17" spans="1:17" x14ac:dyDescent="0.15">
      <c r="A17" s="19">
        <v>36</v>
      </c>
      <c r="B17" s="69" t="str">
        <f>树种材积库输入!B17</f>
        <v>0.9928</v>
      </c>
      <c r="C17" s="69">
        <f>树种材积库输入!C17</f>
        <v>0.73699999999999999</v>
      </c>
      <c r="D17" s="69">
        <f>树种材积库输入!D17</f>
        <v>0.73699999999999999</v>
      </c>
      <c r="E17" s="69">
        <f>树种材积库输入!E17</f>
        <v>0.66559999999999997</v>
      </c>
      <c r="F17" s="69">
        <f>树种材积库输入!F17</f>
        <v>0.78420000000000001</v>
      </c>
      <c r="G17" s="69">
        <f>树种材积库输入!G17</f>
        <v>0.78420000000000001</v>
      </c>
      <c r="H17" s="69">
        <f>树种材积库输入!H17</f>
        <v>0.75080000000000002</v>
      </c>
      <c r="I17" s="69">
        <f>树种材积库输入!I17</f>
        <v>0</v>
      </c>
      <c r="J17" s="69">
        <f>树种材积库输入!J17</f>
        <v>0</v>
      </c>
      <c r="K17" s="69">
        <f>树种材积库输入!K17</f>
        <v>0</v>
      </c>
      <c r="L17" s="69">
        <f>树种材积库输入!L17</f>
        <v>0</v>
      </c>
      <c r="M17" s="69">
        <f>树种材积库输入!M17</f>
        <v>0</v>
      </c>
      <c r="N17" s="69">
        <f>树种材积库输入!N17</f>
        <v>0</v>
      </c>
      <c r="O17" s="69">
        <f>树种材积库输入!O17</f>
        <v>0</v>
      </c>
      <c r="P17" s="69">
        <f>树种材积库输入!P17</f>
        <v>20</v>
      </c>
      <c r="Q17" s="44"/>
    </row>
    <row r="18" spans="1:17" x14ac:dyDescent="0.15">
      <c r="A18" s="19">
        <v>38</v>
      </c>
      <c r="B18" s="69" t="str">
        <f>树种材积库输入!B18</f>
        <v>1.1205</v>
      </c>
      <c r="C18" s="69">
        <f>树种材积库输入!C18</f>
        <v>0.82789999999999997</v>
      </c>
      <c r="D18" s="69">
        <f>树种材积库输入!D18</f>
        <v>0.82789999999999997</v>
      </c>
      <c r="E18" s="69">
        <f>树种材积库输入!E18</f>
        <v>0.74909999999999999</v>
      </c>
      <c r="F18" s="69">
        <f>树种材积库输入!F18</f>
        <v>0.88529999999999998</v>
      </c>
      <c r="G18" s="69">
        <f>树种材积库输入!G18</f>
        <v>0.88529999999999998</v>
      </c>
      <c r="H18" s="69">
        <f>树种材积库输入!H18</f>
        <v>0.85370000000000001</v>
      </c>
      <c r="I18" s="69">
        <f>树种材积库输入!I18</f>
        <v>0</v>
      </c>
      <c r="J18" s="69">
        <f>树种材积库输入!J18</f>
        <v>0</v>
      </c>
      <c r="K18" s="69">
        <f>树种材积库输入!K18</f>
        <v>0</v>
      </c>
      <c r="L18" s="69">
        <f>树种材积库输入!L18</f>
        <v>0</v>
      </c>
      <c r="M18" s="69">
        <f>树种材积库输入!M18</f>
        <v>0</v>
      </c>
      <c r="N18" s="69">
        <f>树种材积库输入!N18</f>
        <v>0</v>
      </c>
      <c r="O18" s="69">
        <f>树种材积库输入!O18</f>
        <v>0</v>
      </c>
      <c r="P18" s="69">
        <f>树种材积库输入!P18</f>
        <v>20.3</v>
      </c>
      <c r="Q18" s="44"/>
    </row>
    <row r="19" spans="1:17" x14ac:dyDescent="0.15">
      <c r="A19" s="19">
        <v>40</v>
      </c>
      <c r="B19" s="69" t="str">
        <f>树种材积库输入!B19</f>
        <v>1.2636</v>
      </c>
      <c r="C19" s="69">
        <f>树种材积库输入!C19</f>
        <v>0.92400000000000004</v>
      </c>
      <c r="D19" s="69">
        <f>树种材积库输入!D19</f>
        <v>0.92400000000000004</v>
      </c>
      <c r="E19" s="69">
        <f>树种材积库输入!E19</f>
        <v>0.83760000000000001</v>
      </c>
      <c r="F19" s="69">
        <f>树种材积库输入!F19</f>
        <v>0.99270000000000003</v>
      </c>
      <c r="G19" s="69">
        <f>树种材积库输入!G19</f>
        <v>0.99270000000000003</v>
      </c>
      <c r="H19" s="69">
        <f>树种材积库输入!H19</f>
        <v>0.9637</v>
      </c>
      <c r="I19" s="69">
        <f>树种材积库输入!I19</f>
        <v>0</v>
      </c>
      <c r="J19" s="69">
        <f>树种材积库输入!J19</f>
        <v>0</v>
      </c>
      <c r="K19" s="69">
        <f>树种材积库输入!K19</f>
        <v>0</v>
      </c>
      <c r="L19" s="69">
        <f>树种材积库输入!L19</f>
        <v>0</v>
      </c>
      <c r="M19" s="69">
        <f>树种材积库输入!M19</f>
        <v>0</v>
      </c>
      <c r="N19" s="69">
        <f>树种材积库输入!N19</f>
        <v>0</v>
      </c>
      <c r="O19" s="69">
        <f>树种材积库输入!O19</f>
        <v>0</v>
      </c>
      <c r="P19" s="69">
        <f>树种材积库输入!P19</f>
        <v>20.7</v>
      </c>
      <c r="Q19" s="44"/>
    </row>
    <row r="20" spans="1:17" x14ac:dyDescent="0.15">
      <c r="A20" s="19">
        <v>42</v>
      </c>
      <c r="B20" s="69" t="str">
        <f>树种材积库输入!B20</f>
        <v>1.4110</v>
      </c>
      <c r="C20" s="69">
        <f>树种材积库输入!C20</f>
        <v>1.0253000000000001</v>
      </c>
      <c r="D20" s="69">
        <f>树种材积库输入!D20</f>
        <v>1.0253000000000001</v>
      </c>
      <c r="E20" s="69">
        <f>树种材积库输入!E20</f>
        <v>0.93110000000000004</v>
      </c>
      <c r="F20" s="69">
        <f>树种材积库输入!F20</f>
        <v>1.1062000000000001</v>
      </c>
      <c r="G20" s="69">
        <f>树种材积库输入!G20</f>
        <v>1.1062000000000001</v>
      </c>
      <c r="H20" s="69">
        <f>树种材积库输入!H20</f>
        <v>1.0808</v>
      </c>
      <c r="I20" s="69">
        <f>树种材积库输入!I20</f>
        <v>0</v>
      </c>
      <c r="J20" s="69">
        <f>树种材积库输入!J20</f>
        <v>0</v>
      </c>
      <c r="K20" s="69">
        <f>树种材积库输入!K20</f>
        <v>0</v>
      </c>
      <c r="L20" s="69">
        <f>树种材积库输入!L20</f>
        <v>0</v>
      </c>
      <c r="M20" s="69">
        <f>树种材积库输入!M20</f>
        <v>0</v>
      </c>
      <c r="N20" s="69">
        <f>树种材积库输入!N20</f>
        <v>0</v>
      </c>
      <c r="O20" s="69">
        <f>树种材积库输入!O20</f>
        <v>0</v>
      </c>
      <c r="P20" s="69">
        <f>树种材积库输入!P20</f>
        <v>21</v>
      </c>
      <c r="Q20" s="44"/>
    </row>
    <row r="21" spans="1:17" x14ac:dyDescent="0.15">
      <c r="A21" s="19">
        <v>44</v>
      </c>
      <c r="B21" s="69" t="str">
        <f>树种材积库输入!B21</f>
        <v>1.5611</v>
      </c>
      <c r="C21" s="69">
        <f>树种材积库输入!C21</f>
        <v>1.1316999999999999</v>
      </c>
      <c r="D21" s="69">
        <f>树种材积库输入!D21</f>
        <v>1.1316999999999999</v>
      </c>
      <c r="E21" s="69">
        <f>树种材积库输入!E21</f>
        <v>1.0296000000000001</v>
      </c>
      <c r="F21" s="69">
        <f>树种材积库输入!F21</f>
        <v>1.226</v>
      </c>
      <c r="G21" s="69">
        <f>树种材积库输入!G21</f>
        <v>1.226</v>
      </c>
      <c r="H21" s="69">
        <f>树种材积库输入!H21</f>
        <v>1.2049000000000001</v>
      </c>
      <c r="I21" s="69">
        <f>树种材积库输入!I21</f>
        <v>0</v>
      </c>
      <c r="J21" s="69">
        <f>树种材积库输入!J21</f>
        <v>0</v>
      </c>
      <c r="K21" s="69">
        <f>树种材积库输入!K21</f>
        <v>0</v>
      </c>
      <c r="L21" s="69">
        <f>树种材积库输入!L21</f>
        <v>0</v>
      </c>
      <c r="M21" s="69">
        <f>树种材积库输入!M21</f>
        <v>0</v>
      </c>
      <c r="N21" s="69">
        <f>树种材积库输入!N21</f>
        <v>0</v>
      </c>
      <c r="O21" s="69">
        <f>树种材积库输入!O21</f>
        <v>0</v>
      </c>
      <c r="P21" s="69">
        <f>树种材积库输入!P21</f>
        <v>21.2</v>
      </c>
      <c r="Q21" s="44"/>
    </row>
    <row r="22" spans="1:17" x14ac:dyDescent="0.15">
      <c r="A22" s="19">
        <v>46</v>
      </c>
      <c r="B22" s="69" t="str">
        <f>树种材积库输入!B22</f>
        <v>1.7280</v>
      </c>
      <c r="C22" s="69">
        <f>树种材积库输入!C22</f>
        <v>1.2432000000000001</v>
      </c>
      <c r="D22" s="69">
        <f>树种材积库输入!D22</f>
        <v>1.2432000000000001</v>
      </c>
      <c r="E22" s="69">
        <f>树种材积库输入!E22</f>
        <v>1.133</v>
      </c>
      <c r="F22" s="69">
        <f>树种材积库输入!F22</f>
        <v>1.3519000000000001</v>
      </c>
      <c r="G22" s="69">
        <f>树种材积库输入!G22</f>
        <v>1.3519000000000001</v>
      </c>
      <c r="H22" s="69">
        <f>树种材积库输入!H22</f>
        <v>1.3362000000000001</v>
      </c>
      <c r="I22" s="69">
        <f>树种材积库输入!I22</f>
        <v>0</v>
      </c>
      <c r="J22" s="69">
        <f>树种材积库输入!J22</f>
        <v>0</v>
      </c>
      <c r="K22" s="69">
        <f>树种材积库输入!K22</f>
        <v>0</v>
      </c>
      <c r="L22" s="69">
        <f>树种材积库输入!L22</f>
        <v>0</v>
      </c>
      <c r="M22" s="69">
        <f>树种材积库输入!M22</f>
        <v>0</v>
      </c>
      <c r="N22" s="69">
        <f>树种材积库输入!N22</f>
        <v>0</v>
      </c>
      <c r="O22" s="69">
        <f>树种材积库输入!O22</f>
        <v>0</v>
      </c>
      <c r="P22" s="69">
        <f>树种材积库输入!P22</f>
        <v>21.5</v>
      </c>
      <c r="Q22" s="44"/>
    </row>
    <row r="23" spans="1:17" x14ac:dyDescent="0.15">
      <c r="A23" s="19">
        <v>48</v>
      </c>
      <c r="B23" s="69" t="str">
        <f>树种材积库输入!B23</f>
        <v>1.8967</v>
      </c>
      <c r="C23" s="69">
        <f>树种材积库输入!C23</f>
        <v>1.3597999999999999</v>
      </c>
      <c r="D23" s="69">
        <f>树种材积库输入!D23</f>
        <v>1.3597999999999999</v>
      </c>
      <c r="E23" s="69">
        <f>树种材积库输入!E23</f>
        <v>1.2414000000000001</v>
      </c>
      <c r="F23" s="69">
        <f>树种材积库输入!F23</f>
        <v>1.484</v>
      </c>
      <c r="G23" s="69">
        <f>树种材积库输入!G23</f>
        <v>1.484</v>
      </c>
      <c r="H23" s="69">
        <f>树种材积库输入!H23</f>
        <v>1.4745999999999999</v>
      </c>
      <c r="I23" s="69">
        <f>树种材积库输入!I23</f>
        <v>0</v>
      </c>
      <c r="J23" s="69">
        <f>树种材积库输入!J23</f>
        <v>0</v>
      </c>
      <c r="K23" s="69">
        <f>树种材积库输入!K23</f>
        <v>0</v>
      </c>
      <c r="L23" s="69">
        <f>树种材积库输入!L23</f>
        <v>0</v>
      </c>
      <c r="M23" s="69">
        <f>树种材积库输入!M23</f>
        <v>0</v>
      </c>
      <c r="N23" s="69">
        <f>树种材积库输入!N23</f>
        <v>0</v>
      </c>
      <c r="O23" s="69">
        <f>树种材积库输入!O23</f>
        <v>0</v>
      </c>
      <c r="P23" s="69">
        <f>树种材积库输入!P23</f>
        <v>21.7</v>
      </c>
      <c r="Q23" s="44"/>
    </row>
    <row r="24" spans="1:17" x14ac:dyDescent="0.15">
      <c r="A24" s="19">
        <v>50</v>
      </c>
      <c r="B24" s="69" t="str">
        <f>树种材积库输入!B24</f>
        <v>2.0747</v>
      </c>
      <c r="C24" s="69">
        <f>树种材积库输入!C24</f>
        <v>1.4815</v>
      </c>
      <c r="D24" s="69">
        <f>树种材积库输入!D24</f>
        <v>1.4815</v>
      </c>
      <c r="E24" s="69">
        <f>树种材积库输入!E24</f>
        <v>1.3547</v>
      </c>
      <c r="F24" s="69">
        <f>树种材积库输入!F24</f>
        <v>1.6222000000000001</v>
      </c>
      <c r="G24" s="69">
        <f>树种材积库输入!G24</f>
        <v>1.6222000000000001</v>
      </c>
      <c r="H24" s="69">
        <f>树种材积库输入!H24</f>
        <v>1.6201000000000001</v>
      </c>
      <c r="I24" s="69">
        <f>树种材积库输入!I24</f>
        <v>0</v>
      </c>
      <c r="J24" s="69">
        <f>树种材积库输入!J24</f>
        <v>0</v>
      </c>
      <c r="K24" s="69">
        <f>树种材积库输入!K24</f>
        <v>0</v>
      </c>
      <c r="L24" s="69">
        <f>树种材积库输入!L24</f>
        <v>0</v>
      </c>
      <c r="M24" s="69">
        <f>树种材积库输入!M24</f>
        <v>0</v>
      </c>
      <c r="N24" s="69">
        <f>树种材积库输入!N24</f>
        <v>0</v>
      </c>
      <c r="O24" s="69">
        <f>树种材积库输入!O24</f>
        <v>0</v>
      </c>
      <c r="P24" s="69">
        <f>树种材积库输入!P24</f>
        <v>21.9</v>
      </c>
      <c r="Q24" s="44"/>
    </row>
    <row r="25" spans="1:17" x14ac:dyDescent="0.15">
      <c r="A25" s="19">
        <v>52</v>
      </c>
      <c r="B25" s="69" t="str">
        <f>树种材积库输入!B25</f>
        <v>2.2723</v>
      </c>
      <c r="C25" s="69">
        <f>树种材积库输入!C25</f>
        <v>1.6082000000000001</v>
      </c>
      <c r="D25" s="69">
        <f>树种材积库输入!D25</f>
        <v>1.6082000000000001</v>
      </c>
      <c r="E25" s="69">
        <f>树种材积库输入!E25</f>
        <v>0</v>
      </c>
      <c r="F25" s="69">
        <f>树种材积库输入!F25</f>
        <v>0</v>
      </c>
      <c r="G25" s="69">
        <f>树种材积库输入!G25</f>
        <v>0</v>
      </c>
      <c r="H25" s="69">
        <f>树种材积库输入!H25</f>
        <v>0</v>
      </c>
      <c r="I25" s="69">
        <f>树种材积库输入!I25</f>
        <v>0</v>
      </c>
      <c r="J25" s="69">
        <f>树种材积库输入!J25</f>
        <v>0</v>
      </c>
      <c r="K25" s="69">
        <f>树种材积库输入!K25</f>
        <v>0</v>
      </c>
      <c r="L25" s="69">
        <f>树种材积库输入!L25</f>
        <v>0</v>
      </c>
      <c r="M25" s="69">
        <f>树种材积库输入!M25</f>
        <v>0</v>
      </c>
      <c r="N25" s="69">
        <f>树种材积库输入!N25</f>
        <v>0</v>
      </c>
      <c r="O25" s="69">
        <f>树种材积库输入!O25</f>
        <v>0</v>
      </c>
      <c r="P25" s="69">
        <f>树种材积库输入!P25</f>
        <v>22.2</v>
      </c>
      <c r="Q25" s="44"/>
    </row>
    <row r="26" spans="1:17" x14ac:dyDescent="0.15">
      <c r="A26" s="19">
        <v>54</v>
      </c>
      <c r="B26" s="69" t="str">
        <f>树种材积库输入!B26</f>
        <v>2.4593</v>
      </c>
      <c r="C26" s="69">
        <f>树种材积库输入!C26</f>
        <v>1.74</v>
      </c>
      <c r="D26" s="69">
        <f>树种材积库输入!D26</f>
        <v>1.74</v>
      </c>
      <c r="E26" s="69">
        <f>树种材积库输入!E26</f>
        <v>0</v>
      </c>
      <c r="F26" s="69">
        <f>树种材积库输入!F26</f>
        <v>0</v>
      </c>
      <c r="G26" s="69">
        <f>树种材积库输入!G26</f>
        <v>0</v>
      </c>
      <c r="H26" s="69">
        <f>树种材积库输入!H26</f>
        <v>0</v>
      </c>
      <c r="I26" s="69">
        <f>树种材积库输入!I26</f>
        <v>0</v>
      </c>
      <c r="J26" s="69">
        <f>树种材积库输入!J26</f>
        <v>0</v>
      </c>
      <c r="K26" s="69">
        <f>树种材积库输入!K26</f>
        <v>0</v>
      </c>
      <c r="L26" s="69">
        <f>树种材积库输入!L26</f>
        <v>0</v>
      </c>
      <c r="M26" s="69">
        <f>树种材积库输入!M26</f>
        <v>0</v>
      </c>
      <c r="N26" s="69">
        <f>树种材积库输入!N26</f>
        <v>0</v>
      </c>
      <c r="O26" s="69">
        <f>树种材积库输入!O26</f>
        <v>0</v>
      </c>
      <c r="P26" s="69">
        <f>树种材积库输入!P26</f>
        <v>22.3</v>
      </c>
      <c r="Q26" s="44"/>
    </row>
    <row r="27" spans="1:17" x14ac:dyDescent="0.15">
      <c r="A27" s="19">
        <v>56</v>
      </c>
      <c r="B27" s="69" t="str">
        <f>树种材积库输入!B27</f>
        <v>2.6662</v>
      </c>
      <c r="C27" s="69">
        <f>树种材积库输入!C27</f>
        <v>1.8768</v>
      </c>
      <c r="D27" s="69">
        <f>树种材积库输入!D27</f>
        <v>1.8768</v>
      </c>
      <c r="E27" s="69">
        <f>树种材积库输入!E27</f>
        <v>0</v>
      </c>
      <c r="F27" s="69">
        <f>树种材积库输入!F27</f>
        <v>0</v>
      </c>
      <c r="G27" s="69">
        <f>树种材积库输入!G27</f>
        <v>0</v>
      </c>
      <c r="H27" s="69">
        <f>树种材积库输入!H27</f>
        <v>0</v>
      </c>
      <c r="I27" s="69">
        <f>树种材积库输入!I27</f>
        <v>0</v>
      </c>
      <c r="J27" s="69">
        <f>树种材积库输入!J27</f>
        <v>0</v>
      </c>
      <c r="K27" s="69">
        <f>树种材积库输入!K27</f>
        <v>0</v>
      </c>
      <c r="L27" s="69">
        <f>树种材积库输入!L27</f>
        <v>0</v>
      </c>
      <c r="M27" s="69">
        <f>树种材积库输入!M27</f>
        <v>0</v>
      </c>
      <c r="N27" s="69">
        <f>树种材积库输入!N27</f>
        <v>0</v>
      </c>
      <c r="O27" s="69">
        <f>树种材积库输入!O27</f>
        <v>0</v>
      </c>
      <c r="P27" s="69">
        <f>树种材积库输入!P27</f>
        <v>22.5</v>
      </c>
      <c r="Q27" s="44"/>
    </row>
    <row r="28" spans="1:17" x14ac:dyDescent="0.15">
      <c r="A28" s="19">
        <v>58</v>
      </c>
      <c r="B28" s="69" t="str">
        <f>树种材积库输入!B28</f>
        <v>2.8831</v>
      </c>
      <c r="C28" s="69">
        <f>树种材积库输入!C28</f>
        <v>2.0186000000000002</v>
      </c>
      <c r="D28" s="69">
        <f>树种材积库输入!D28</f>
        <v>2.0186000000000002</v>
      </c>
      <c r="E28" s="69">
        <f>树种材积库输入!E28</f>
        <v>0</v>
      </c>
      <c r="F28" s="69">
        <f>树种材积库输入!F28</f>
        <v>0</v>
      </c>
      <c r="G28" s="69">
        <f>树种材积库输入!G28</f>
        <v>0</v>
      </c>
      <c r="H28" s="69">
        <f>树种材积库输入!H28</f>
        <v>0</v>
      </c>
      <c r="I28" s="69">
        <f>树种材积库输入!I28</f>
        <v>0</v>
      </c>
      <c r="J28" s="69">
        <f>树种材积库输入!J28</f>
        <v>0</v>
      </c>
      <c r="K28" s="69">
        <f>树种材积库输入!K28</f>
        <v>0</v>
      </c>
      <c r="L28" s="69">
        <f>树种材积库输入!L28</f>
        <v>0</v>
      </c>
      <c r="M28" s="69">
        <f>树种材积库输入!M28</f>
        <v>0</v>
      </c>
      <c r="N28" s="69">
        <f>树种材积库输入!N28</f>
        <v>0</v>
      </c>
      <c r="O28" s="69">
        <f>树种材积库输入!O28</f>
        <v>0</v>
      </c>
      <c r="P28" s="69">
        <f>树种材积库输入!P28</f>
        <v>22.7</v>
      </c>
      <c r="Q28" s="44"/>
    </row>
    <row r="29" spans="1:17" x14ac:dyDescent="0.15">
      <c r="A29" s="19">
        <v>60</v>
      </c>
      <c r="B29" s="69" t="str">
        <f>树种材积库输入!B29</f>
        <v>3.1101</v>
      </c>
      <c r="C29" s="69">
        <f>树种材积库输入!C29</f>
        <v>2.1654</v>
      </c>
      <c r="D29" s="69">
        <f>树种材积库输入!D29</f>
        <v>2.1654</v>
      </c>
      <c r="E29" s="69">
        <f>树种材积库输入!E29</f>
        <v>0</v>
      </c>
      <c r="F29" s="69">
        <f>树种材积库输入!F29</f>
        <v>0</v>
      </c>
      <c r="G29" s="69">
        <f>树种材积库输入!G29</f>
        <v>0</v>
      </c>
      <c r="H29" s="69">
        <f>树种材积库输入!H29</f>
        <v>0</v>
      </c>
      <c r="I29" s="69">
        <f>树种材积库输入!I29</f>
        <v>0</v>
      </c>
      <c r="J29" s="69">
        <f>树种材积库输入!J29</f>
        <v>0</v>
      </c>
      <c r="K29" s="69">
        <f>树种材积库输入!K29</f>
        <v>0</v>
      </c>
      <c r="L29" s="69">
        <f>树种材积库输入!L29</f>
        <v>0</v>
      </c>
      <c r="M29" s="69">
        <f>树种材积库输入!M29</f>
        <v>0</v>
      </c>
      <c r="N29" s="69">
        <f>树种材积库输入!N29</f>
        <v>0</v>
      </c>
      <c r="O29" s="69">
        <f>树种材积库输入!O29</f>
        <v>0</v>
      </c>
      <c r="P29" s="69">
        <f>树种材积库输入!P29</f>
        <v>22.9</v>
      </c>
      <c r="Q29" s="44"/>
    </row>
    <row r="30" spans="1:17" x14ac:dyDescent="0.15">
      <c r="A30" s="19">
        <v>62</v>
      </c>
      <c r="B30" s="69" t="str">
        <f>树种材积库输入!B30</f>
        <v>3.3332</v>
      </c>
      <c r="C30" s="69">
        <f>树种材积库输入!C30</f>
        <v>2.3170999999999999</v>
      </c>
      <c r="D30" s="69">
        <f>树种材积库输入!D30</f>
        <v>2.3170999999999999</v>
      </c>
      <c r="E30" s="69">
        <f>树种材积库输入!E30</f>
        <v>0</v>
      </c>
      <c r="F30" s="69">
        <f>树种材积库输入!F30</f>
        <v>0</v>
      </c>
      <c r="G30" s="69">
        <f>树种材积库输入!G30</f>
        <v>0</v>
      </c>
      <c r="H30" s="69">
        <f>树种材积库输入!H30</f>
        <v>0</v>
      </c>
      <c r="I30" s="69">
        <f>树种材积库输入!I30</f>
        <v>0</v>
      </c>
      <c r="J30" s="69">
        <f>树种材积库输入!J30</f>
        <v>0</v>
      </c>
      <c r="K30" s="69">
        <f>树种材积库输入!K30</f>
        <v>0</v>
      </c>
      <c r="L30" s="69">
        <f>树种材积库输入!L30</f>
        <v>0</v>
      </c>
      <c r="M30" s="69">
        <f>树种材积库输入!M30</f>
        <v>0</v>
      </c>
      <c r="N30" s="69">
        <f>树种材积库输入!N30</f>
        <v>0</v>
      </c>
      <c r="O30" s="69">
        <f>树种材积库输入!O30</f>
        <v>0</v>
      </c>
      <c r="P30" s="69">
        <f>树种材积库输入!P30</f>
        <v>23</v>
      </c>
      <c r="Q30" s="44"/>
    </row>
    <row r="31" spans="1:17" x14ac:dyDescent="0.15">
      <c r="A31" s="19">
        <v>64</v>
      </c>
      <c r="B31" s="69" t="str">
        <f>树种材积库输入!B31</f>
        <v>3.5801</v>
      </c>
      <c r="C31" s="69">
        <f>树种材积库输入!C31</f>
        <v>2.4738000000000002</v>
      </c>
      <c r="D31" s="69">
        <f>树种材积库输入!D31</f>
        <v>2.4738000000000002</v>
      </c>
      <c r="E31" s="69">
        <f>树种材积库输入!E31</f>
        <v>0</v>
      </c>
      <c r="F31" s="69">
        <f>树种材积库输入!F31</f>
        <v>0</v>
      </c>
      <c r="G31" s="69">
        <f>树种材积库输入!G31</f>
        <v>0</v>
      </c>
      <c r="H31" s="69">
        <f>树种材积库输入!H31</f>
        <v>0</v>
      </c>
      <c r="I31" s="69">
        <f>树种材积库输入!I31</f>
        <v>0</v>
      </c>
      <c r="J31" s="69">
        <f>树种材积库输入!J31</f>
        <v>0</v>
      </c>
      <c r="K31" s="69">
        <f>树种材积库输入!K31</f>
        <v>0</v>
      </c>
      <c r="L31" s="69">
        <f>树种材积库输入!L31</f>
        <v>0</v>
      </c>
      <c r="M31" s="69">
        <f>树种材积库输入!M31</f>
        <v>0</v>
      </c>
      <c r="N31" s="69">
        <f>树种材积库输入!N31</f>
        <v>0</v>
      </c>
      <c r="O31" s="69">
        <f>树种材积库输入!O31</f>
        <v>0</v>
      </c>
      <c r="P31" s="69">
        <f>树种材积库输入!P31</f>
        <v>23.2</v>
      </c>
      <c r="Q31" s="44"/>
    </row>
    <row r="32" spans="1:17" x14ac:dyDescent="0.15">
      <c r="A32" s="19">
        <v>66</v>
      </c>
      <c r="B32" s="69" t="str">
        <f>树种材积库输入!B32</f>
        <v>3.8215</v>
      </c>
      <c r="C32" s="69">
        <f>树种材积库输入!C32</f>
        <v>2.6355</v>
      </c>
      <c r="D32" s="69">
        <f>树种材积库输入!D32</f>
        <v>2.6355</v>
      </c>
      <c r="E32" s="69">
        <f>树种材积库输入!E32</f>
        <v>0</v>
      </c>
      <c r="F32" s="69">
        <f>树种材积库输入!F32</f>
        <v>0</v>
      </c>
      <c r="G32" s="69">
        <f>树种材积库输入!G32</f>
        <v>0</v>
      </c>
      <c r="H32" s="69">
        <f>树种材积库输入!H32</f>
        <v>0</v>
      </c>
      <c r="I32" s="69">
        <f>树种材积库输入!I32</f>
        <v>0</v>
      </c>
      <c r="J32" s="69">
        <f>树种材积库输入!J32</f>
        <v>0</v>
      </c>
      <c r="K32" s="69">
        <f>树种材积库输入!K32</f>
        <v>0</v>
      </c>
      <c r="L32" s="69">
        <f>树种材积库输入!L32</f>
        <v>0</v>
      </c>
      <c r="M32" s="69">
        <f>树种材积库输入!M32</f>
        <v>0</v>
      </c>
      <c r="N32" s="69">
        <f>树种材积库输入!N32</f>
        <v>0</v>
      </c>
      <c r="O32" s="69">
        <f>树种材积库输入!O32</f>
        <v>0</v>
      </c>
      <c r="P32" s="69">
        <f>树种材积库输入!P32</f>
        <v>23.3</v>
      </c>
      <c r="Q32" s="44"/>
    </row>
    <row r="33" spans="1:17" x14ac:dyDescent="0.15">
      <c r="A33" s="19">
        <v>68</v>
      </c>
      <c r="B33" s="69" t="str">
        <f>树种材积库输入!B33</f>
        <v>4.0718</v>
      </c>
      <c r="C33" s="69">
        <f>树种材积库输入!C33</f>
        <v>2.8020999999999998</v>
      </c>
      <c r="D33" s="69">
        <f>树种材积库输入!D33</f>
        <v>2.8020999999999998</v>
      </c>
      <c r="E33" s="69">
        <f>树种材积库输入!E33</f>
        <v>0</v>
      </c>
      <c r="F33" s="69">
        <f>树种材积库输入!F33</f>
        <v>0</v>
      </c>
      <c r="G33" s="69">
        <f>树种材积库输入!G33</f>
        <v>0</v>
      </c>
      <c r="H33" s="69">
        <f>树种材积库输入!H33</f>
        <v>0</v>
      </c>
      <c r="I33" s="69">
        <f>树种材积库输入!I33</f>
        <v>0</v>
      </c>
      <c r="J33" s="69">
        <f>树种材积库输入!J33</f>
        <v>0</v>
      </c>
      <c r="K33" s="69">
        <f>树种材积库输入!K33</f>
        <v>0</v>
      </c>
      <c r="L33" s="69">
        <f>树种材积库输入!L33</f>
        <v>0</v>
      </c>
      <c r="M33" s="69">
        <f>树种材积库输入!M33</f>
        <v>0</v>
      </c>
      <c r="N33" s="69">
        <f>树种材积库输入!N33</f>
        <v>0</v>
      </c>
      <c r="O33" s="69">
        <f>树种材积库输入!O33</f>
        <v>0</v>
      </c>
      <c r="P33" s="69">
        <f>树种材积库输入!P33</f>
        <v>23.4</v>
      </c>
      <c r="Q33" s="44"/>
    </row>
    <row r="34" spans="1:17" x14ac:dyDescent="0.15">
      <c r="A34" s="19">
        <v>70</v>
      </c>
      <c r="B34" s="69" t="str">
        <f>树种材积库输入!B34</f>
        <v>4.3492</v>
      </c>
      <c r="C34" s="69">
        <f>树种材积库输入!C34</f>
        <v>2.9735999999999998</v>
      </c>
      <c r="D34" s="69">
        <f>树种材积库输入!D34</f>
        <v>2.9735999999999998</v>
      </c>
      <c r="E34" s="69">
        <f>树种材积库输入!E34</f>
        <v>0</v>
      </c>
      <c r="F34" s="69">
        <f>树种材积库输入!F34</f>
        <v>0</v>
      </c>
      <c r="G34" s="69">
        <f>树种材积库输入!G34</f>
        <v>0</v>
      </c>
      <c r="H34" s="69">
        <f>树种材积库输入!H34</f>
        <v>0</v>
      </c>
      <c r="I34" s="69">
        <f>树种材积库输入!I34</f>
        <v>0</v>
      </c>
      <c r="J34" s="69">
        <f>树种材积库输入!J34</f>
        <v>0</v>
      </c>
      <c r="K34" s="69">
        <f>树种材积库输入!K34</f>
        <v>0</v>
      </c>
      <c r="L34" s="69">
        <f>树种材积库输入!L34</f>
        <v>0</v>
      </c>
      <c r="M34" s="69">
        <f>树种材积库输入!M34</f>
        <v>0</v>
      </c>
      <c r="N34" s="69">
        <f>树种材积库输入!N34</f>
        <v>0</v>
      </c>
      <c r="O34" s="69">
        <f>树种材积库输入!O34</f>
        <v>0</v>
      </c>
      <c r="P34" s="69">
        <f>树种材积库输入!P34</f>
        <v>23.6</v>
      </c>
      <c r="Q34" s="44"/>
    </row>
  </sheetData>
  <phoneticPr fontId="93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Q34"/>
  <sheetViews>
    <sheetView workbookViewId="0">
      <selection activeCell="G25" sqref="G25"/>
    </sheetView>
  </sheetViews>
  <sheetFormatPr defaultColWidth="9" defaultRowHeight="13.5" x14ac:dyDescent="0.15"/>
  <cols>
    <col min="1" max="1" width="6.125" style="4" customWidth="1"/>
    <col min="2" max="15" width="9" style="4"/>
    <col min="16" max="16" width="9.5" style="4" customWidth="1"/>
    <col min="17" max="16384" width="9" style="4"/>
  </cols>
  <sheetData>
    <row r="1" spans="1:17" x14ac:dyDescent="0.15">
      <c r="A1" s="19" t="s">
        <v>24</v>
      </c>
      <c r="B1" s="6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8" t="s">
        <v>6</v>
      </c>
      <c r="I1" s="330" t="s">
        <v>576</v>
      </c>
      <c r="J1" s="331"/>
      <c r="K1" s="331"/>
      <c r="L1" s="331"/>
      <c r="M1" s="331"/>
      <c r="N1" s="331"/>
      <c r="O1" s="331"/>
      <c r="P1" s="332" t="s">
        <v>25</v>
      </c>
    </row>
    <row r="2" spans="1:17" x14ac:dyDescent="0.15">
      <c r="A2" s="19">
        <v>6</v>
      </c>
      <c r="B2" s="69" t="str">
        <f>FIXED(((1.010296+1.09854*A2-0.015833*P2)*(1.010296+1.09854*A2-0.015833*P2)*P2*0.000030655759601511),4)</f>
        <v>0.0075</v>
      </c>
      <c r="C2" s="19">
        <v>8.3999999999999995E-3</v>
      </c>
      <c r="D2" s="19">
        <v>8.3999999999999995E-3</v>
      </c>
      <c r="E2" s="333">
        <v>9.1000000000000004E-3</v>
      </c>
      <c r="F2" s="19">
        <v>8.8999999999999999E-3</v>
      </c>
      <c r="G2" s="19">
        <v>8.8999999999999999E-3</v>
      </c>
      <c r="H2" s="19">
        <v>6.7999999999999996E-3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/>
      <c r="P2" s="334">
        <f>树高方程输入!T3</f>
        <v>4.3</v>
      </c>
      <c r="Q2" s="44"/>
    </row>
    <row r="3" spans="1:17" x14ac:dyDescent="0.15">
      <c r="A3" s="19">
        <v>8</v>
      </c>
      <c r="B3" s="69" t="str">
        <f t="shared" ref="B3:B34" si="0">FIXED(((1.010296+1.09854*A3-0.015833*P3)*(1.010296+1.09854*A3-0.015833*P3)*P3*0.000030655759601511),4)</f>
        <v>0.0201</v>
      </c>
      <c r="C3" s="19">
        <v>1.3299999999999999E-2</v>
      </c>
      <c r="D3" s="19">
        <v>1.3299999999999999E-2</v>
      </c>
      <c r="E3" s="333">
        <v>1.9099999999999999E-2</v>
      </c>
      <c r="F3" s="19">
        <v>1.95E-2</v>
      </c>
      <c r="G3" s="19">
        <v>1.95E-2</v>
      </c>
      <c r="H3" s="19">
        <v>1.54E-2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/>
      <c r="P3" s="334">
        <f>树高方程输入!T4</f>
        <v>7</v>
      </c>
      <c r="Q3" s="44"/>
    </row>
    <row r="4" spans="1:17" x14ac:dyDescent="0.15">
      <c r="A4" s="19">
        <v>10</v>
      </c>
      <c r="B4" s="69" t="str">
        <f t="shared" si="0"/>
        <v>0.0392</v>
      </c>
      <c r="C4" s="19">
        <v>3.5900000000000001E-2</v>
      </c>
      <c r="D4" s="19">
        <v>3.5900000000000001E-2</v>
      </c>
      <c r="E4" s="333">
        <v>3.3599999999999998E-2</v>
      </c>
      <c r="F4" s="19">
        <v>3.5200000000000002E-2</v>
      </c>
      <c r="G4" s="19">
        <v>3.5200000000000002E-2</v>
      </c>
      <c r="H4" s="19">
        <v>2.8500000000000001E-2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/>
      <c r="P4" s="334">
        <f>树高方程输入!T5</f>
        <v>9.1</v>
      </c>
      <c r="Q4" s="44"/>
    </row>
    <row r="5" spans="1:17" x14ac:dyDescent="0.15">
      <c r="A5" s="19">
        <v>12</v>
      </c>
      <c r="B5" s="69" t="str">
        <f t="shared" si="0"/>
        <v>0.0657</v>
      </c>
      <c r="C5" s="19">
        <v>5.7599999999999998E-2</v>
      </c>
      <c r="D5" s="19">
        <v>5.7599999999999998E-2</v>
      </c>
      <c r="E5" s="333">
        <v>5.2600000000000001E-2</v>
      </c>
      <c r="F5" s="19">
        <v>5.6300000000000003E-2</v>
      </c>
      <c r="G5" s="19">
        <v>5.6300000000000003E-2</v>
      </c>
      <c r="H5" s="19">
        <v>4.6600000000000003E-2</v>
      </c>
      <c r="I5" s="43">
        <v>0</v>
      </c>
      <c r="J5" s="43">
        <v>0</v>
      </c>
      <c r="K5" s="43">
        <v>0</v>
      </c>
      <c r="L5" s="43">
        <v>0</v>
      </c>
      <c r="M5" s="43">
        <v>0</v>
      </c>
      <c r="N5" s="43">
        <v>0</v>
      </c>
      <c r="O5" s="43"/>
      <c r="P5" s="334">
        <f>树高方程输入!T6</f>
        <v>10.9</v>
      </c>
      <c r="Q5" s="44"/>
    </row>
    <row r="6" spans="1:17" x14ac:dyDescent="0.15">
      <c r="A6" s="19">
        <v>14</v>
      </c>
      <c r="B6" s="69" t="str">
        <f t="shared" si="0"/>
        <v>0.0989</v>
      </c>
      <c r="C6" s="19">
        <v>8.4599999999999995E-2</v>
      </c>
      <c r="D6" s="19">
        <v>8.4599999999999995E-2</v>
      </c>
      <c r="E6" s="333">
        <v>7.6399999999999996E-2</v>
      </c>
      <c r="F6" s="19">
        <v>8.3199999999999996E-2</v>
      </c>
      <c r="G6" s="19">
        <v>8.3199999999999996E-2</v>
      </c>
      <c r="H6" s="19">
        <v>7.0300000000000001E-2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/>
      <c r="P6" s="334">
        <f>树高方程输入!T7</f>
        <v>12.3</v>
      </c>
      <c r="Q6" s="44"/>
    </row>
    <row r="7" spans="1:17" x14ac:dyDescent="0.15">
      <c r="A7" s="19">
        <v>16</v>
      </c>
      <c r="B7" s="69" t="str">
        <f t="shared" si="0"/>
        <v>0.1397</v>
      </c>
      <c r="C7" s="19">
        <v>0.1171</v>
      </c>
      <c r="D7" s="19">
        <v>0.1171</v>
      </c>
      <c r="E7" s="333">
        <v>0.1051</v>
      </c>
      <c r="F7" s="19">
        <v>0.11600000000000001</v>
      </c>
      <c r="G7" s="19">
        <v>0.11600000000000001</v>
      </c>
      <c r="H7" s="19">
        <v>9.9699999999999997E-2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/>
      <c r="P7" s="334">
        <f>树高方程输入!T8</f>
        <v>13.5</v>
      </c>
      <c r="Q7" s="44"/>
    </row>
    <row r="8" spans="1:17" x14ac:dyDescent="0.15">
      <c r="A8" s="19">
        <v>18</v>
      </c>
      <c r="B8" s="69" t="str">
        <f t="shared" si="0"/>
        <v>0.1891</v>
      </c>
      <c r="C8" s="19">
        <v>0.155</v>
      </c>
      <c r="D8" s="19">
        <v>0.155</v>
      </c>
      <c r="E8" s="333">
        <v>0.1386</v>
      </c>
      <c r="F8" s="19">
        <v>0.15490000000000001</v>
      </c>
      <c r="G8" s="19">
        <v>0.15490000000000001</v>
      </c>
      <c r="H8" s="19">
        <v>0.13519999999999999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/>
      <c r="P8" s="334">
        <f>树高方程输入!T9</f>
        <v>14.6</v>
      </c>
      <c r="Q8" s="44"/>
    </row>
    <row r="9" spans="1:17" x14ac:dyDescent="0.15">
      <c r="A9" s="19">
        <v>20</v>
      </c>
      <c r="B9" s="69" t="str">
        <f t="shared" si="0"/>
        <v>0.2456</v>
      </c>
      <c r="C9" s="19">
        <v>0.19839999999999999</v>
      </c>
      <c r="D9" s="19">
        <v>0.19839999999999999</v>
      </c>
      <c r="E9" s="333">
        <v>0.1772</v>
      </c>
      <c r="F9" s="19">
        <v>0.19989999999999999</v>
      </c>
      <c r="G9" s="19">
        <v>0.19989999999999999</v>
      </c>
      <c r="H9" s="19">
        <v>0.1769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/>
      <c r="P9" s="334">
        <f>树高方程输入!T10</f>
        <v>15.5</v>
      </c>
      <c r="Q9" s="44"/>
    </row>
    <row r="10" spans="1:17" x14ac:dyDescent="0.15">
      <c r="A10" s="19">
        <v>22</v>
      </c>
      <c r="B10" s="69" t="str">
        <f t="shared" si="0"/>
        <v>0.3103</v>
      </c>
      <c r="C10" s="19">
        <v>0.24709999999999999</v>
      </c>
      <c r="D10" s="19">
        <v>0.24709999999999999</v>
      </c>
      <c r="E10" s="333">
        <v>0.22070000000000001</v>
      </c>
      <c r="F10" s="19">
        <v>0.2447</v>
      </c>
      <c r="G10" s="19">
        <v>0.2447</v>
      </c>
      <c r="H10" s="19">
        <v>0.22500000000000001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/>
      <c r="P10" s="334">
        <f>树高方程输入!T11</f>
        <v>16.3</v>
      </c>
      <c r="Q10" s="44"/>
    </row>
    <row r="11" spans="1:17" x14ac:dyDescent="0.15">
      <c r="A11" s="19">
        <v>24</v>
      </c>
      <c r="B11" s="69" t="str">
        <f t="shared" si="0"/>
        <v>0.3829</v>
      </c>
      <c r="C11" s="19">
        <v>0.30120000000000002</v>
      </c>
      <c r="D11" s="19">
        <v>0.30120000000000002</v>
      </c>
      <c r="E11" s="333">
        <v>0.26919999999999999</v>
      </c>
      <c r="F11" s="19">
        <v>0.3085</v>
      </c>
      <c r="G11" s="19">
        <v>0.3085</v>
      </c>
      <c r="H11" s="19">
        <v>0.2797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/>
      <c r="P11" s="334">
        <f>树高方程输入!T12</f>
        <v>17</v>
      </c>
      <c r="Q11" s="44"/>
    </row>
    <row r="12" spans="1:17" x14ac:dyDescent="0.15">
      <c r="A12" s="19">
        <v>26</v>
      </c>
      <c r="B12" s="69" t="str">
        <f t="shared" si="0"/>
        <v>0.4656</v>
      </c>
      <c r="C12" s="19">
        <v>0.36059999999999998</v>
      </c>
      <c r="D12" s="19">
        <v>0.36059999999999998</v>
      </c>
      <c r="E12" s="333">
        <v>0.32279999999999998</v>
      </c>
      <c r="F12" s="19">
        <v>0.37209999999999999</v>
      </c>
      <c r="G12" s="19">
        <v>0.37209999999999999</v>
      </c>
      <c r="H12" s="19">
        <v>0.34100000000000003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/>
      <c r="P12" s="334">
        <f>树高方程输入!T13</f>
        <v>17.7</v>
      </c>
      <c r="Q12" s="44"/>
    </row>
    <row r="13" spans="1:17" x14ac:dyDescent="0.15">
      <c r="A13" s="19">
        <v>28</v>
      </c>
      <c r="B13" s="69" t="str">
        <f t="shared" si="0"/>
        <v>0.5530</v>
      </c>
      <c r="C13" s="19">
        <v>0.42530000000000001</v>
      </c>
      <c r="D13" s="19">
        <v>0.42530000000000001</v>
      </c>
      <c r="E13" s="333">
        <v>0.38129999999999997</v>
      </c>
      <c r="F13" s="19">
        <v>0.442</v>
      </c>
      <c r="G13" s="19">
        <v>0.442</v>
      </c>
      <c r="H13" s="19">
        <v>0.40920000000000001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/>
      <c r="P13" s="334">
        <f>树高方程输入!T14</f>
        <v>18.2</v>
      </c>
      <c r="Q13" s="44"/>
    </row>
    <row r="14" spans="1:17" x14ac:dyDescent="0.15">
      <c r="A14" s="19">
        <v>30</v>
      </c>
      <c r="B14" s="69" t="str">
        <f t="shared" si="0"/>
        <v>0.6499</v>
      </c>
      <c r="C14" s="19">
        <v>0.49540000000000001</v>
      </c>
      <c r="D14" s="19">
        <v>0.49540000000000001</v>
      </c>
      <c r="E14" s="333">
        <v>0.44490000000000002</v>
      </c>
      <c r="F14" s="19">
        <v>0.51819999999999999</v>
      </c>
      <c r="G14" s="19">
        <v>0.51819999999999999</v>
      </c>
      <c r="H14" s="19">
        <v>0.48420000000000002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/>
      <c r="P14" s="334">
        <f>树高方程输入!T15</f>
        <v>18.7</v>
      </c>
      <c r="Q14" s="44"/>
    </row>
    <row r="15" spans="1:17" x14ac:dyDescent="0.15">
      <c r="A15" s="19">
        <v>32</v>
      </c>
      <c r="B15" s="69" t="str">
        <f t="shared" si="0"/>
        <v>0.7569</v>
      </c>
      <c r="C15" s="19">
        <v>0.57069999999999999</v>
      </c>
      <c r="D15" s="19">
        <v>0.57069999999999999</v>
      </c>
      <c r="E15" s="333">
        <v>0.51339999999999997</v>
      </c>
      <c r="F15" s="19">
        <v>0.60060000000000002</v>
      </c>
      <c r="G15" s="19">
        <v>0.60060000000000002</v>
      </c>
      <c r="H15" s="19">
        <v>0.56610000000000005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/>
      <c r="P15" s="334">
        <f>树高方程输入!T16</f>
        <v>19.2</v>
      </c>
      <c r="Q15" s="44"/>
    </row>
    <row r="16" spans="1:17" x14ac:dyDescent="0.15">
      <c r="A16" s="19">
        <v>34</v>
      </c>
      <c r="B16" s="69" t="str">
        <f t="shared" si="0"/>
        <v>0.8699</v>
      </c>
      <c r="C16" s="19">
        <v>0.6512</v>
      </c>
      <c r="D16" s="19">
        <v>0.6512</v>
      </c>
      <c r="E16" s="333">
        <v>0.58699999999999997</v>
      </c>
      <c r="F16" s="19">
        <v>0.68930000000000002</v>
      </c>
      <c r="G16" s="19">
        <v>0.68930000000000002</v>
      </c>
      <c r="H16" s="19">
        <v>0.65500000000000003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/>
      <c r="P16" s="334">
        <f>树高方程输入!T17</f>
        <v>19.600000000000001</v>
      </c>
      <c r="Q16" s="44"/>
    </row>
    <row r="17" spans="1:17" x14ac:dyDescent="0.15">
      <c r="A17" s="19">
        <v>36</v>
      </c>
      <c r="B17" s="69" t="str">
        <f t="shared" si="0"/>
        <v>0.9928</v>
      </c>
      <c r="C17" s="19">
        <v>0.73699999999999999</v>
      </c>
      <c r="D17" s="19">
        <v>0.73699999999999999</v>
      </c>
      <c r="E17" s="333">
        <v>0.66559999999999997</v>
      </c>
      <c r="F17" s="19">
        <v>0.78420000000000001</v>
      </c>
      <c r="G17" s="19">
        <v>0.78420000000000001</v>
      </c>
      <c r="H17" s="19">
        <v>0.75080000000000002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/>
      <c r="P17" s="334">
        <f>树高方程输入!T18</f>
        <v>20</v>
      </c>
      <c r="Q17" s="44"/>
    </row>
    <row r="18" spans="1:17" x14ac:dyDescent="0.15">
      <c r="A18" s="19">
        <v>38</v>
      </c>
      <c r="B18" s="69" t="str">
        <f t="shared" si="0"/>
        <v>1.1205</v>
      </c>
      <c r="C18" s="19">
        <v>0.82789999999999997</v>
      </c>
      <c r="D18" s="19">
        <v>0.82789999999999997</v>
      </c>
      <c r="E18" s="333">
        <v>0.74909999999999999</v>
      </c>
      <c r="F18" s="19">
        <v>0.88529999999999998</v>
      </c>
      <c r="G18" s="19">
        <v>0.88529999999999998</v>
      </c>
      <c r="H18" s="19">
        <v>0.85370000000000001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/>
      <c r="P18" s="334">
        <f>树高方程输入!T19</f>
        <v>20.3</v>
      </c>
      <c r="Q18" s="44"/>
    </row>
    <row r="19" spans="1:17" x14ac:dyDescent="0.15">
      <c r="A19" s="19">
        <v>40</v>
      </c>
      <c r="B19" s="69" t="str">
        <f t="shared" si="0"/>
        <v>1.2636</v>
      </c>
      <c r="C19" s="19">
        <v>0.92400000000000004</v>
      </c>
      <c r="D19" s="19">
        <v>0.92400000000000004</v>
      </c>
      <c r="E19" s="333">
        <v>0.83760000000000001</v>
      </c>
      <c r="F19" s="19">
        <v>0.99270000000000003</v>
      </c>
      <c r="G19" s="19">
        <v>0.99270000000000003</v>
      </c>
      <c r="H19" s="19">
        <v>0.9637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/>
      <c r="P19" s="334">
        <f>树高方程输入!T20</f>
        <v>20.7</v>
      </c>
      <c r="Q19" s="44"/>
    </row>
    <row r="20" spans="1:17" x14ac:dyDescent="0.15">
      <c r="A20" s="19">
        <v>42</v>
      </c>
      <c r="B20" s="69" t="str">
        <f t="shared" si="0"/>
        <v>1.4110</v>
      </c>
      <c r="C20" s="19">
        <v>1.0253000000000001</v>
      </c>
      <c r="D20" s="19">
        <v>1.0253000000000001</v>
      </c>
      <c r="E20" s="333">
        <v>0.93110000000000004</v>
      </c>
      <c r="F20" s="19">
        <v>1.1062000000000001</v>
      </c>
      <c r="G20" s="19">
        <v>1.1062000000000001</v>
      </c>
      <c r="H20" s="19">
        <v>1.0808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/>
      <c r="P20" s="334">
        <f>树高方程输入!T21</f>
        <v>21</v>
      </c>
      <c r="Q20" s="44"/>
    </row>
    <row r="21" spans="1:17" x14ac:dyDescent="0.15">
      <c r="A21" s="19">
        <v>44</v>
      </c>
      <c r="B21" s="69" t="str">
        <f t="shared" si="0"/>
        <v>1.5611</v>
      </c>
      <c r="C21" s="19">
        <v>1.1316999999999999</v>
      </c>
      <c r="D21" s="19">
        <v>1.1316999999999999</v>
      </c>
      <c r="E21" s="333">
        <v>1.0296000000000001</v>
      </c>
      <c r="F21" s="19">
        <v>1.226</v>
      </c>
      <c r="G21" s="19">
        <v>1.226</v>
      </c>
      <c r="H21" s="19">
        <v>1.2049000000000001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/>
      <c r="P21" s="334">
        <f>树高方程输入!T22</f>
        <v>21.2</v>
      </c>
      <c r="Q21" s="44"/>
    </row>
    <row r="22" spans="1:17" x14ac:dyDescent="0.15">
      <c r="A22" s="19">
        <v>46</v>
      </c>
      <c r="B22" s="69" t="str">
        <f t="shared" si="0"/>
        <v>1.7280</v>
      </c>
      <c r="C22" s="19">
        <v>1.2432000000000001</v>
      </c>
      <c r="D22" s="19">
        <v>1.2432000000000001</v>
      </c>
      <c r="E22" s="333">
        <v>1.133</v>
      </c>
      <c r="F22" s="19">
        <v>1.3519000000000001</v>
      </c>
      <c r="G22" s="19">
        <v>1.3519000000000001</v>
      </c>
      <c r="H22" s="19">
        <v>1.3362000000000001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/>
      <c r="P22" s="334">
        <f>树高方程输入!T23</f>
        <v>21.5</v>
      </c>
      <c r="Q22" s="44"/>
    </row>
    <row r="23" spans="1:17" x14ac:dyDescent="0.15">
      <c r="A23" s="19">
        <v>48</v>
      </c>
      <c r="B23" s="69" t="str">
        <f t="shared" si="0"/>
        <v>1.8967</v>
      </c>
      <c r="C23" s="19">
        <v>1.3597999999999999</v>
      </c>
      <c r="D23" s="19">
        <v>1.3597999999999999</v>
      </c>
      <c r="E23" s="333">
        <v>1.2414000000000001</v>
      </c>
      <c r="F23" s="19">
        <v>1.484</v>
      </c>
      <c r="G23" s="19">
        <v>1.484</v>
      </c>
      <c r="H23" s="19">
        <v>1.4745999999999999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/>
      <c r="P23" s="334">
        <f>树高方程输入!T24</f>
        <v>21.7</v>
      </c>
      <c r="Q23" s="44"/>
    </row>
    <row r="24" spans="1:17" x14ac:dyDescent="0.15">
      <c r="A24" s="19">
        <v>50</v>
      </c>
      <c r="B24" s="69" t="str">
        <f t="shared" si="0"/>
        <v>2.0747</v>
      </c>
      <c r="C24" s="19">
        <v>1.4815</v>
      </c>
      <c r="D24" s="19">
        <v>1.4815</v>
      </c>
      <c r="E24" s="333">
        <v>1.3547</v>
      </c>
      <c r="F24" s="19">
        <v>1.6222000000000001</v>
      </c>
      <c r="G24" s="19">
        <v>1.6222000000000001</v>
      </c>
      <c r="H24" s="19">
        <v>1.6201000000000001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/>
      <c r="P24" s="334">
        <f>树高方程输入!T25</f>
        <v>21.9</v>
      </c>
      <c r="Q24" s="44"/>
    </row>
    <row r="25" spans="1:17" x14ac:dyDescent="0.15">
      <c r="A25" s="19">
        <v>52</v>
      </c>
      <c r="B25" s="69" t="str">
        <f t="shared" si="0"/>
        <v>2.2723</v>
      </c>
      <c r="C25" s="19">
        <v>1.6082000000000001</v>
      </c>
      <c r="D25" s="19">
        <v>1.6082000000000001</v>
      </c>
      <c r="E25" s="282"/>
      <c r="F25" s="282"/>
      <c r="G25" s="282"/>
      <c r="H25" s="282"/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/>
      <c r="P25" s="334">
        <f>树高方程输入!T26</f>
        <v>22.2</v>
      </c>
      <c r="Q25" s="44"/>
    </row>
    <row r="26" spans="1:17" x14ac:dyDescent="0.15">
      <c r="A26" s="19">
        <v>54</v>
      </c>
      <c r="B26" s="69" t="str">
        <f t="shared" si="0"/>
        <v>2.4593</v>
      </c>
      <c r="C26" s="19">
        <v>1.74</v>
      </c>
      <c r="D26" s="19">
        <v>1.74</v>
      </c>
      <c r="E26" s="282"/>
      <c r="F26" s="282"/>
      <c r="G26" s="282"/>
      <c r="H26" s="282"/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/>
      <c r="P26" s="334">
        <f>树高方程输入!T27</f>
        <v>22.3</v>
      </c>
      <c r="Q26" s="44"/>
    </row>
    <row r="27" spans="1:17" x14ac:dyDescent="0.15">
      <c r="A27" s="19">
        <v>56</v>
      </c>
      <c r="B27" s="69" t="str">
        <f t="shared" si="0"/>
        <v>2.6662</v>
      </c>
      <c r="C27" s="19">
        <v>1.8768</v>
      </c>
      <c r="D27" s="19">
        <v>1.8768</v>
      </c>
      <c r="E27" s="282"/>
      <c r="F27" s="282"/>
      <c r="G27" s="282"/>
      <c r="H27" s="282"/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/>
      <c r="P27" s="334">
        <f>树高方程输入!T28</f>
        <v>22.5</v>
      </c>
      <c r="Q27" s="44"/>
    </row>
    <row r="28" spans="1:17" x14ac:dyDescent="0.15">
      <c r="A28" s="19">
        <v>58</v>
      </c>
      <c r="B28" s="69" t="str">
        <f t="shared" si="0"/>
        <v>2.8831</v>
      </c>
      <c r="C28" s="19">
        <v>2.0186000000000002</v>
      </c>
      <c r="D28" s="19">
        <v>2.0186000000000002</v>
      </c>
      <c r="E28" s="282"/>
      <c r="F28" s="282"/>
      <c r="G28" s="282"/>
      <c r="H28" s="282"/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/>
      <c r="P28" s="334">
        <f>树高方程输入!T29</f>
        <v>22.7</v>
      </c>
      <c r="Q28" s="44"/>
    </row>
    <row r="29" spans="1:17" x14ac:dyDescent="0.15">
      <c r="A29" s="19">
        <v>60</v>
      </c>
      <c r="B29" s="69" t="str">
        <f t="shared" si="0"/>
        <v>3.1101</v>
      </c>
      <c r="C29" s="19">
        <v>2.1654</v>
      </c>
      <c r="D29" s="19">
        <v>2.1654</v>
      </c>
      <c r="E29" s="282"/>
      <c r="F29" s="282"/>
      <c r="G29" s="282"/>
      <c r="H29" s="282"/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/>
      <c r="P29" s="334">
        <f>树高方程输入!T30</f>
        <v>22.9</v>
      </c>
      <c r="Q29" s="44"/>
    </row>
    <row r="30" spans="1:17" x14ac:dyDescent="0.15">
      <c r="A30" s="19">
        <v>62</v>
      </c>
      <c r="B30" s="69" t="str">
        <f t="shared" si="0"/>
        <v>3.3332</v>
      </c>
      <c r="C30" s="19">
        <v>2.3170999999999999</v>
      </c>
      <c r="D30" s="19">
        <v>2.3170999999999999</v>
      </c>
      <c r="E30" s="282"/>
      <c r="F30" s="282"/>
      <c r="G30" s="282"/>
      <c r="H30" s="282"/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/>
      <c r="P30" s="334">
        <f>树高方程输入!T31</f>
        <v>23</v>
      </c>
      <c r="Q30" s="44"/>
    </row>
    <row r="31" spans="1:17" x14ac:dyDescent="0.15">
      <c r="A31" s="19">
        <v>64</v>
      </c>
      <c r="B31" s="69" t="str">
        <f t="shared" si="0"/>
        <v>3.5801</v>
      </c>
      <c r="C31" s="19">
        <v>2.4738000000000002</v>
      </c>
      <c r="D31" s="19">
        <v>2.4738000000000002</v>
      </c>
      <c r="E31" s="282"/>
      <c r="F31" s="282"/>
      <c r="G31" s="282"/>
      <c r="H31" s="282"/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/>
      <c r="P31" s="334">
        <f>树高方程输入!T32</f>
        <v>23.2</v>
      </c>
      <c r="Q31" s="44"/>
    </row>
    <row r="32" spans="1:17" x14ac:dyDescent="0.15">
      <c r="A32" s="19">
        <v>66</v>
      </c>
      <c r="B32" s="69" t="str">
        <f t="shared" si="0"/>
        <v>3.8215</v>
      </c>
      <c r="C32" s="19">
        <v>2.6355</v>
      </c>
      <c r="D32" s="19">
        <v>2.6355</v>
      </c>
      <c r="E32" s="282"/>
      <c r="F32" s="282"/>
      <c r="G32" s="282"/>
      <c r="H32" s="282"/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/>
      <c r="P32" s="334">
        <f>树高方程输入!T33</f>
        <v>23.3</v>
      </c>
      <c r="Q32" s="44"/>
    </row>
    <row r="33" spans="1:17" x14ac:dyDescent="0.15">
      <c r="A33" s="19">
        <v>68</v>
      </c>
      <c r="B33" s="69" t="str">
        <f t="shared" si="0"/>
        <v>4.0718</v>
      </c>
      <c r="C33" s="19">
        <v>2.8020999999999998</v>
      </c>
      <c r="D33" s="19">
        <v>2.8020999999999998</v>
      </c>
      <c r="E33" s="282"/>
      <c r="F33" s="282"/>
      <c r="G33" s="282"/>
      <c r="H33" s="282"/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/>
      <c r="P33" s="334">
        <f>树高方程输入!T34</f>
        <v>23.4</v>
      </c>
      <c r="Q33" s="44"/>
    </row>
    <row r="34" spans="1:17" x14ac:dyDescent="0.15">
      <c r="A34" s="19">
        <v>70</v>
      </c>
      <c r="B34" s="69" t="str">
        <f t="shared" si="0"/>
        <v>4.3492</v>
      </c>
      <c r="C34" s="48">
        <v>2.9735999999999998</v>
      </c>
      <c r="D34" s="48">
        <v>2.9735999999999998</v>
      </c>
      <c r="E34" s="282"/>
      <c r="F34" s="282"/>
      <c r="G34" s="282"/>
      <c r="H34" s="282"/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/>
      <c r="P34" s="334">
        <f>树高方程输入!T35</f>
        <v>23.6</v>
      </c>
      <c r="Q34" s="44"/>
    </row>
  </sheetData>
  <phoneticPr fontId="9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7"/>
  <sheetViews>
    <sheetView workbookViewId="0">
      <selection activeCell="B14" sqref="B14"/>
    </sheetView>
  </sheetViews>
  <sheetFormatPr defaultRowHeight="13.5" x14ac:dyDescent="0.15"/>
  <cols>
    <col min="1" max="1" width="17.75" style="4" customWidth="1"/>
    <col min="2" max="2" width="16.625" style="4" customWidth="1"/>
    <col min="3" max="3" width="15.5" style="4" customWidth="1"/>
    <col min="4" max="4" width="14.375" style="4" customWidth="1"/>
    <col min="5" max="5" width="14.625" style="4" customWidth="1"/>
    <col min="6" max="6" width="14.5" style="4" customWidth="1"/>
    <col min="7" max="7" width="13.75" style="4" customWidth="1"/>
    <col min="8" max="16384" width="9" style="4"/>
  </cols>
  <sheetData>
    <row r="1" spans="1:12" ht="23.25" thickBot="1" x14ac:dyDescent="0.2">
      <c r="A1" s="335" t="s">
        <v>104</v>
      </c>
      <c r="B1" s="335" t="s">
        <v>105</v>
      </c>
      <c r="C1" s="336" t="s">
        <v>106</v>
      </c>
      <c r="D1" s="335" t="s">
        <v>581</v>
      </c>
      <c r="E1" s="335" t="s">
        <v>107</v>
      </c>
      <c r="F1" s="335" t="s">
        <v>109</v>
      </c>
      <c r="G1" s="335" t="s">
        <v>108</v>
      </c>
    </row>
    <row r="2" spans="1:12" ht="14.25" thickBot="1" x14ac:dyDescent="0.2">
      <c r="A2" s="337" t="s">
        <v>32</v>
      </c>
      <c r="B2" s="338" t="s">
        <v>37</v>
      </c>
      <c r="C2" s="339" t="s">
        <v>38</v>
      </c>
      <c r="D2" s="337" t="s">
        <v>35</v>
      </c>
      <c r="E2" s="337" t="s">
        <v>36</v>
      </c>
      <c r="F2" s="337" t="s">
        <v>33</v>
      </c>
      <c r="G2" s="337" t="s">
        <v>34</v>
      </c>
      <c r="J2" s="340"/>
    </row>
    <row r="3" spans="1:12" ht="14.25" thickBot="1" x14ac:dyDescent="0.2">
      <c r="A3" s="337" t="s">
        <v>39</v>
      </c>
      <c r="B3" s="338" t="s">
        <v>44</v>
      </c>
      <c r="C3" s="339" t="s">
        <v>45</v>
      </c>
      <c r="D3" s="337" t="s">
        <v>42</v>
      </c>
      <c r="E3" s="337" t="s">
        <v>43</v>
      </c>
      <c r="F3" s="337" t="s">
        <v>40</v>
      </c>
      <c r="G3" s="337" t="s">
        <v>41</v>
      </c>
      <c r="J3" s="340"/>
    </row>
    <row r="4" spans="1:12" ht="23.25" thickBot="1" x14ac:dyDescent="0.2">
      <c r="A4" s="337" t="s">
        <v>46</v>
      </c>
      <c r="B4" s="338" t="s">
        <v>51</v>
      </c>
      <c r="C4" s="339" t="s">
        <v>52</v>
      </c>
      <c r="D4" s="337" t="s">
        <v>49</v>
      </c>
      <c r="E4" s="337" t="s">
        <v>50</v>
      </c>
      <c r="F4" s="337" t="s">
        <v>47</v>
      </c>
      <c r="G4" s="337" t="s">
        <v>48</v>
      </c>
      <c r="J4" s="340"/>
    </row>
    <row r="5" spans="1:12" ht="23.25" thickBot="1" x14ac:dyDescent="0.2">
      <c r="A5" s="337" t="s">
        <v>53</v>
      </c>
      <c r="B5" s="338" t="s">
        <v>58</v>
      </c>
      <c r="C5" s="339" t="s">
        <v>59</v>
      </c>
      <c r="D5" s="337" t="s">
        <v>56</v>
      </c>
      <c r="E5" s="337" t="s">
        <v>57</v>
      </c>
      <c r="F5" s="337" t="s">
        <v>54</v>
      </c>
      <c r="G5" s="337" t="s">
        <v>55</v>
      </c>
      <c r="J5" s="340"/>
    </row>
    <row r="6" spans="1:12" ht="23.25" thickBot="1" x14ac:dyDescent="0.2">
      <c r="A6" s="337" t="s">
        <v>60</v>
      </c>
      <c r="B6" s="338" t="s">
        <v>65</v>
      </c>
      <c r="C6" s="339" t="s">
        <v>66</v>
      </c>
      <c r="D6" s="337" t="s">
        <v>63</v>
      </c>
      <c r="E6" s="337" t="s">
        <v>64</v>
      </c>
      <c r="F6" s="337" t="s">
        <v>61</v>
      </c>
      <c r="G6" s="337" t="s">
        <v>62</v>
      </c>
      <c r="J6" s="340"/>
    </row>
    <row r="7" spans="1:12" ht="14.25" thickBot="1" x14ac:dyDescent="0.2">
      <c r="A7" s="337" t="s">
        <v>67</v>
      </c>
      <c r="B7" s="338" t="s">
        <v>72</v>
      </c>
      <c r="C7" s="339" t="s">
        <v>73</v>
      </c>
      <c r="D7" s="337" t="s">
        <v>70</v>
      </c>
      <c r="E7" s="337" t="s">
        <v>71</v>
      </c>
      <c r="F7" s="337" t="s">
        <v>68</v>
      </c>
      <c r="G7" s="337" t="s">
        <v>69</v>
      </c>
      <c r="J7" s="340"/>
    </row>
    <row r="8" spans="1:12" ht="14.25" thickBot="1" x14ac:dyDescent="0.2">
      <c r="A8" s="337" t="s">
        <v>74</v>
      </c>
      <c r="B8" s="338" t="s">
        <v>79</v>
      </c>
      <c r="C8" s="339" t="s">
        <v>80</v>
      </c>
      <c r="D8" s="337" t="s">
        <v>77</v>
      </c>
      <c r="E8" s="337" t="s">
        <v>78</v>
      </c>
      <c r="F8" s="337" t="s">
        <v>75</v>
      </c>
      <c r="G8" s="337" t="s">
        <v>76</v>
      </c>
      <c r="J8" s="340"/>
    </row>
    <row r="9" spans="1:12" ht="14.25" thickBot="1" x14ac:dyDescent="0.2">
      <c r="A9" s="337" t="s">
        <v>81</v>
      </c>
      <c r="B9" s="338" t="s">
        <v>85</v>
      </c>
      <c r="C9" s="339" t="s">
        <v>86</v>
      </c>
      <c r="D9" s="337" t="s">
        <v>83</v>
      </c>
      <c r="E9" s="337" t="s">
        <v>84</v>
      </c>
      <c r="F9" s="337" t="s">
        <v>82</v>
      </c>
      <c r="G9" s="337" t="s">
        <v>81</v>
      </c>
      <c r="J9" s="340"/>
    </row>
    <row r="10" spans="1:12" ht="14.25" thickBot="1" x14ac:dyDescent="0.2">
      <c r="A10" s="337" t="s">
        <v>87</v>
      </c>
      <c r="B10" s="338" t="s">
        <v>91</v>
      </c>
      <c r="C10" s="339" t="s">
        <v>92</v>
      </c>
      <c r="D10" s="337" t="s">
        <v>89</v>
      </c>
      <c r="E10" s="337" t="s">
        <v>90</v>
      </c>
      <c r="F10" s="337" t="s">
        <v>88</v>
      </c>
      <c r="G10" s="337" t="s">
        <v>88</v>
      </c>
      <c r="J10" s="340"/>
    </row>
    <row r="11" spans="1:12" ht="14.25" thickBot="1" x14ac:dyDescent="0.2">
      <c r="A11" s="337" t="s">
        <v>93</v>
      </c>
      <c r="B11" s="338" t="s">
        <v>98</v>
      </c>
      <c r="C11" s="339" t="s">
        <v>99</v>
      </c>
      <c r="D11" s="337" t="s">
        <v>96</v>
      </c>
      <c r="E11" s="337" t="s">
        <v>97</v>
      </c>
      <c r="F11" s="337" t="s">
        <v>94</v>
      </c>
      <c r="G11" s="337" t="s">
        <v>95</v>
      </c>
      <c r="J11" s="340"/>
    </row>
    <row r="12" spans="1:12" ht="14.25" thickBot="1" x14ac:dyDescent="0.2">
      <c r="A12" s="337" t="s">
        <v>100</v>
      </c>
      <c r="B12" s="338" t="s">
        <v>102</v>
      </c>
      <c r="C12" s="339" t="s">
        <v>103</v>
      </c>
      <c r="D12" s="337" t="s">
        <v>100</v>
      </c>
      <c r="E12" s="337" t="s">
        <v>101</v>
      </c>
      <c r="F12" s="337" t="s">
        <v>100</v>
      </c>
      <c r="G12" s="337" t="s">
        <v>100</v>
      </c>
      <c r="J12" s="340"/>
    </row>
    <row r="13" spans="1:12" x14ac:dyDescent="0.15">
      <c r="A13" s="341"/>
      <c r="B13" s="341"/>
      <c r="C13" s="341"/>
      <c r="D13" s="341"/>
      <c r="E13" s="341"/>
      <c r="F13" s="341"/>
      <c r="G13" s="341"/>
      <c r="H13" s="341"/>
      <c r="I13" s="341"/>
      <c r="J13" s="340"/>
    </row>
    <row r="14" spans="1:12" ht="14.25" thickBot="1" x14ac:dyDescent="0.2">
      <c r="A14" s="341"/>
      <c r="B14" s="341"/>
      <c r="C14" s="341"/>
      <c r="D14" s="341"/>
      <c r="E14" s="341"/>
      <c r="F14" s="341"/>
      <c r="G14" s="341"/>
      <c r="H14" s="341"/>
      <c r="I14" s="341"/>
      <c r="J14" s="340"/>
    </row>
    <row r="15" spans="1:12" x14ac:dyDescent="0.15">
      <c r="A15" s="1689" t="s">
        <v>30</v>
      </c>
      <c r="B15" s="1690"/>
      <c r="C15" s="1690"/>
      <c r="D15" s="1690"/>
      <c r="E15" s="1690"/>
      <c r="F15" s="1690"/>
      <c r="G15" s="1690"/>
      <c r="H15" s="1690"/>
      <c r="I15" s="1690"/>
      <c r="J15" s="1690"/>
      <c r="K15" s="1690"/>
      <c r="L15" s="1691"/>
    </row>
    <row r="16" spans="1:12" ht="14.25" thickBot="1" x14ac:dyDescent="0.2">
      <c r="A16" s="1692" t="s">
        <v>31</v>
      </c>
      <c r="B16" s="1693"/>
      <c r="C16" s="1693"/>
      <c r="D16" s="1693"/>
      <c r="E16" s="1693"/>
      <c r="F16" s="1693"/>
      <c r="G16" s="1693"/>
      <c r="H16" s="1693"/>
      <c r="I16" s="1693"/>
      <c r="J16" s="1693"/>
      <c r="K16" s="1693"/>
      <c r="L16" s="1694"/>
    </row>
    <row r="17" ht="22.5" customHeight="1" x14ac:dyDescent="0.15"/>
  </sheetData>
  <mergeCells count="2">
    <mergeCell ref="A15:L15"/>
    <mergeCell ref="A16:L16"/>
  </mergeCells>
  <phoneticPr fontId="9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D17"/>
  <sheetViews>
    <sheetView topLeftCell="B1" workbookViewId="0">
      <selection activeCell="A17" sqref="A17:H17"/>
    </sheetView>
  </sheetViews>
  <sheetFormatPr defaultRowHeight="13.5" x14ac:dyDescent="0.15"/>
  <cols>
    <col min="1" max="6" width="18.25" style="4" customWidth="1"/>
    <col min="7" max="7" width="15" style="4" customWidth="1"/>
    <col min="8" max="8" width="16.375" style="4" customWidth="1"/>
    <col min="9" max="9" width="15.5" style="4" customWidth="1"/>
    <col min="10" max="10" width="14.875" style="4" customWidth="1"/>
    <col min="11" max="14" width="16.375" style="4" customWidth="1"/>
    <col min="15" max="16384" width="9" style="4"/>
  </cols>
  <sheetData>
    <row r="1" spans="1:30" ht="14.25" thickBot="1" x14ac:dyDescent="0.2">
      <c r="A1" s="337" t="s">
        <v>122</v>
      </c>
      <c r="B1" s="337" t="s">
        <v>110</v>
      </c>
      <c r="C1" s="337" t="s">
        <v>111</v>
      </c>
      <c r="D1" s="337" t="s">
        <v>112</v>
      </c>
      <c r="E1" s="337" t="s">
        <v>113</v>
      </c>
      <c r="F1" s="337" t="s">
        <v>114</v>
      </c>
      <c r="G1" s="337" t="s">
        <v>433</v>
      </c>
      <c r="H1" s="335" t="s">
        <v>115</v>
      </c>
      <c r="I1" s="337" t="s">
        <v>116</v>
      </c>
      <c r="J1" s="337" t="s">
        <v>117</v>
      </c>
      <c r="K1" s="337" t="s">
        <v>118</v>
      </c>
      <c r="L1" s="337" t="s">
        <v>119</v>
      </c>
      <c r="M1" s="337" t="s">
        <v>120</v>
      </c>
      <c r="N1" s="340" t="s">
        <v>121</v>
      </c>
      <c r="X1" s="1697" t="s">
        <v>29</v>
      </c>
      <c r="Y1" s="1698"/>
      <c r="Z1" s="1698"/>
      <c r="AA1" s="1698"/>
      <c r="AB1" s="1698"/>
      <c r="AC1" s="1698"/>
      <c r="AD1" s="1699"/>
    </row>
    <row r="2" spans="1:30" ht="18" customHeight="1" thickBot="1" x14ac:dyDescent="0.2">
      <c r="A2" s="337" t="s">
        <v>123</v>
      </c>
      <c r="B2" s="337" t="s">
        <v>124</v>
      </c>
      <c r="C2" s="337" t="s">
        <v>125</v>
      </c>
      <c r="D2" s="342" t="s">
        <v>126</v>
      </c>
      <c r="E2" s="337" t="s">
        <v>127</v>
      </c>
      <c r="F2" s="337" t="s">
        <v>128</v>
      </c>
      <c r="G2" s="337" t="s">
        <v>129</v>
      </c>
      <c r="H2" s="337" t="s">
        <v>130</v>
      </c>
      <c r="I2" s="337" t="s">
        <v>131</v>
      </c>
      <c r="J2" s="337" t="s">
        <v>132</v>
      </c>
      <c r="K2" s="342" t="s">
        <v>133</v>
      </c>
      <c r="L2" s="337" t="s">
        <v>134</v>
      </c>
      <c r="M2" s="337" t="s">
        <v>135</v>
      </c>
      <c r="N2" s="19" t="s">
        <v>136</v>
      </c>
    </row>
    <row r="3" spans="1:30" ht="18" customHeight="1" thickBot="1" x14ac:dyDescent="0.2">
      <c r="A3" s="337" t="s">
        <v>137</v>
      </c>
      <c r="B3" s="337" t="s">
        <v>138</v>
      </c>
      <c r="C3" s="337" t="s">
        <v>139</v>
      </c>
      <c r="D3" s="342" t="s">
        <v>140</v>
      </c>
      <c r="E3" s="337" t="s">
        <v>141</v>
      </c>
      <c r="F3" s="337" t="s">
        <v>142</v>
      </c>
      <c r="G3" s="337" t="s">
        <v>143</v>
      </c>
      <c r="H3" s="337" t="s">
        <v>144</v>
      </c>
      <c r="I3" s="337" t="s">
        <v>145</v>
      </c>
      <c r="J3" s="337" t="s">
        <v>146</v>
      </c>
      <c r="K3" s="342" t="s">
        <v>147</v>
      </c>
      <c r="L3" s="337" t="s">
        <v>148</v>
      </c>
      <c r="M3" s="337" t="s">
        <v>149</v>
      </c>
      <c r="N3" s="19" t="s">
        <v>150</v>
      </c>
    </row>
    <row r="4" spans="1:30" ht="18" customHeight="1" thickBot="1" x14ac:dyDescent="0.2">
      <c r="A4" s="337" t="s">
        <v>151</v>
      </c>
      <c r="B4" s="337" t="s">
        <v>151</v>
      </c>
      <c r="C4" s="337" t="s">
        <v>152</v>
      </c>
      <c r="D4" s="342" t="s">
        <v>153</v>
      </c>
      <c r="E4" s="337" t="s">
        <v>154</v>
      </c>
      <c r="F4" s="337" t="s">
        <v>155</v>
      </c>
      <c r="G4" s="337" t="s">
        <v>156</v>
      </c>
      <c r="H4" s="337" t="s">
        <v>157</v>
      </c>
      <c r="I4" s="337" t="s">
        <v>158</v>
      </c>
      <c r="J4" s="337" t="s">
        <v>159</v>
      </c>
      <c r="K4" s="342" t="s">
        <v>160</v>
      </c>
      <c r="L4" s="337" t="s">
        <v>161</v>
      </c>
      <c r="M4" s="337" t="s">
        <v>162</v>
      </c>
      <c r="N4" s="19" t="s">
        <v>163</v>
      </c>
    </row>
    <row r="5" spans="1:30" ht="18" customHeight="1" thickBot="1" x14ac:dyDescent="0.2">
      <c r="A5" s="337" t="s">
        <v>164</v>
      </c>
      <c r="B5" s="337" t="s">
        <v>165</v>
      </c>
      <c r="C5" s="337" t="s">
        <v>166</v>
      </c>
      <c r="D5" s="342" t="s">
        <v>167</v>
      </c>
      <c r="E5" s="337" t="s">
        <v>164</v>
      </c>
      <c r="F5" s="337" t="s">
        <v>168</v>
      </c>
      <c r="G5" s="337" t="s">
        <v>169</v>
      </c>
      <c r="H5" s="337" t="s">
        <v>170</v>
      </c>
      <c r="I5" s="337" t="s">
        <v>171</v>
      </c>
      <c r="J5" s="337" t="s">
        <v>172</v>
      </c>
      <c r="K5" s="342" t="s">
        <v>173</v>
      </c>
      <c r="L5" s="337" t="s">
        <v>174</v>
      </c>
      <c r="M5" s="337" t="s">
        <v>175</v>
      </c>
      <c r="N5" s="19" t="s">
        <v>176</v>
      </c>
    </row>
    <row r="6" spans="1:30" ht="18" customHeight="1" thickBot="1" x14ac:dyDescent="0.2">
      <c r="A6" s="337" t="s">
        <v>177</v>
      </c>
      <c r="B6" s="337" t="s">
        <v>178</v>
      </c>
      <c r="C6" s="337" t="s">
        <v>179</v>
      </c>
      <c r="D6" s="342" t="s">
        <v>180</v>
      </c>
      <c r="E6" s="337" t="s">
        <v>177</v>
      </c>
      <c r="F6" s="337" t="s">
        <v>181</v>
      </c>
      <c r="G6" s="337" t="s">
        <v>181</v>
      </c>
      <c r="H6" s="337" t="s">
        <v>182</v>
      </c>
      <c r="I6" s="337" t="s">
        <v>183</v>
      </c>
      <c r="J6" s="337" t="s">
        <v>184</v>
      </c>
      <c r="K6" s="342" t="s">
        <v>185</v>
      </c>
      <c r="L6" s="337" t="s">
        <v>186</v>
      </c>
      <c r="M6" s="337" t="s">
        <v>187</v>
      </c>
      <c r="N6" s="19" t="s">
        <v>188</v>
      </c>
    </row>
    <row r="7" spans="1:30" ht="18" customHeight="1" thickBot="1" x14ac:dyDescent="0.2">
      <c r="A7" s="337" t="s">
        <v>189</v>
      </c>
      <c r="B7" s="337" t="s">
        <v>190</v>
      </c>
      <c r="C7" s="337" t="s">
        <v>191</v>
      </c>
      <c r="D7" s="342" t="s">
        <v>192</v>
      </c>
      <c r="E7" s="337" t="s">
        <v>193</v>
      </c>
      <c r="F7" s="337" t="s">
        <v>194</v>
      </c>
      <c r="G7" s="337" t="s">
        <v>195</v>
      </c>
      <c r="H7" s="337" t="s">
        <v>196</v>
      </c>
      <c r="I7" s="337" t="s">
        <v>197</v>
      </c>
      <c r="J7" s="337" t="s">
        <v>198</v>
      </c>
      <c r="K7" s="342" t="s">
        <v>199</v>
      </c>
      <c r="L7" s="337" t="s">
        <v>200</v>
      </c>
      <c r="M7" s="337" t="s">
        <v>201</v>
      </c>
      <c r="N7" s="19" t="s">
        <v>202</v>
      </c>
    </row>
    <row r="8" spans="1:30" ht="18" customHeight="1" thickBot="1" x14ac:dyDescent="0.2">
      <c r="A8" s="337" t="s">
        <v>203</v>
      </c>
      <c r="B8" s="337" t="s">
        <v>204</v>
      </c>
      <c r="C8" s="337" t="s">
        <v>205</v>
      </c>
      <c r="D8" s="342" t="s">
        <v>206</v>
      </c>
      <c r="E8" s="337" t="s">
        <v>207</v>
      </c>
      <c r="F8" s="337" t="s">
        <v>208</v>
      </c>
      <c r="G8" s="337" t="s">
        <v>203</v>
      </c>
      <c r="H8" s="337" t="s">
        <v>209</v>
      </c>
      <c r="I8" s="337" t="s">
        <v>210</v>
      </c>
      <c r="J8" s="337" t="s">
        <v>206</v>
      </c>
      <c r="K8" s="342" t="s">
        <v>211</v>
      </c>
      <c r="L8" s="337" t="s">
        <v>212</v>
      </c>
      <c r="M8" s="337" t="s">
        <v>213</v>
      </c>
      <c r="N8" s="19" t="s">
        <v>214</v>
      </c>
    </row>
    <row r="9" spans="1:30" ht="18" customHeight="1" thickBot="1" x14ac:dyDescent="0.2">
      <c r="A9" s="337" t="s">
        <v>215</v>
      </c>
      <c r="B9" s="337" t="s">
        <v>216</v>
      </c>
      <c r="C9" s="337" t="s">
        <v>217</v>
      </c>
      <c r="D9" s="342" t="s">
        <v>218</v>
      </c>
      <c r="E9" s="337" t="s">
        <v>215</v>
      </c>
      <c r="F9" s="337" t="s">
        <v>215</v>
      </c>
      <c r="G9" s="337" t="s">
        <v>219</v>
      </c>
      <c r="H9" s="337" t="s">
        <v>220</v>
      </c>
      <c r="I9" s="337" t="s">
        <v>221</v>
      </c>
      <c r="J9" s="337" t="s">
        <v>218</v>
      </c>
      <c r="K9" s="342" t="s">
        <v>222</v>
      </c>
      <c r="L9" s="337" t="s">
        <v>84</v>
      </c>
      <c r="M9" s="337" t="s">
        <v>223</v>
      </c>
      <c r="N9" s="19" t="s">
        <v>224</v>
      </c>
    </row>
    <row r="10" spans="1:30" ht="18" customHeight="1" thickBot="1" x14ac:dyDescent="0.2">
      <c r="A10" s="337" t="s">
        <v>225</v>
      </c>
      <c r="B10" s="337" t="s">
        <v>226</v>
      </c>
      <c r="C10" s="337" t="s">
        <v>227</v>
      </c>
      <c r="D10" s="342" t="s">
        <v>228</v>
      </c>
      <c r="E10" s="337" t="s">
        <v>229</v>
      </c>
      <c r="F10" s="337" t="s">
        <v>225</v>
      </c>
      <c r="G10" s="337" t="s">
        <v>230</v>
      </c>
      <c r="H10" s="337" t="s">
        <v>231</v>
      </c>
      <c r="I10" s="337" t="s">
        <v>232</v>
      </c>
      <c r="J10" s="337" t="s">
        <v>233</v>
      </c>
      <c r="K10" s="342" t="s">
        <v>234</v>
      </c>
      <c r="L10" s="337" t="s">
        <v>235</v>
      </c>
      <c r="M10" s="337" t="s">
        <v>236</v>
      </c>
      <c r="N10" s="19" t="s">
        <v>237</v>
      </c>
    </row>
    <row r="11" spans="1:30" ht="18" customHeight="1" thickBot="1" x14ac:dyDescent="0.2">
      <c r="A11" s="337" t="s">
        <v>238</v>
      </c>
      <c r="B11" s="337" t="s">
        <v>239</v>
      </c>
      <c r="C11" s="337" t="s">
        <v>240</v>
      </c>
      <c r="D11" s="342" t="s">
        <v>241</v>
      </c>
      <c r="E11" s="337" t="s">
        <v>242</v>
      </c>
      <c r="F11" s="337" t="s">
        <v>238</v>
      </c>
      <c r="G11" s="337" t="s">
        <v>243</v>
      </c>
      <c r="H11" s="337" t="s">
        <v>244</v>
      </c>
      <c r="I11" s="337" t="s">
        <v>245</v>
      </c>
      <c r="J11" s="337" t="s">
        <v>246</v>
      </c>
      <c r="K11" s="342" t="s">
        <v>247</v>
      </c>
      <c r="L11" s="337" t="s">
        <v>248</v>
      </c>
      <c r="M11" s="337" t="s">
        <v>249</v>
      </c>
      <c r="N11" s="19" t="s">
        <v>250</v>
      </c>
    </row>
    <row r="12" spans="1:30" ht="18" customHeight="1" thickBot="1" x14ac:dyDescent="0.2">
      <c r="A12" s="337" t="s">
        <v>251</v>
      </c>
      <c r="B12" s="337" t="s">
        <v>252</v>
      </c>
      <c r="C12" s="337" t="s">
        <v>253</v>
      </c>
      <c r="D12" s="342" t="s">
        <v>254</v>
      </c>
      <c r="E12" s="337" t="s">
        <v>255</v>
      </c>
      <c r="F12" s="337" t="s">
        <v>256</v>
      </c>
      <c r="G12" s="337" t="s">
        <v>257</v>
      </c>
      <c r="H12" s="337" t="s">
        <v>258</v>
      </c>
      <c r="I12" s="337" t="s">
        <v>259</v>
      </c>
      <c r="J12" s="337" t="s">
        <v>260</v>
      </c>
      <c r="K12" s="342" t="s">
        <v>261</v>
      </c>
      <c r="L12" s="337" t="s">
        <v>262</v>
      </c>
      <c r="M12" s="337" t="s">
        <v>263</v>
      </c>
      <c r="N12" s="19" t="s">
        <v>263</v>
      </c>
    </row>
    <row r="13" spans="1:30" ht="18" customHeight="1" thickBot="1" x14ac:dyDescent="0.2">
      <c r="A13" s="337" t="s">
        <v>264</v>
      </c>
      <c r="B13" s="337" t="s">
        <v>265</v>
      </c>
      <c r="C13" s="337" t="s">
        <v>266</v>
      </c>
      <c r="D13" s="342" t="s">
        <v>267</v>
      </c>
      <c r="E13" s="337" t="s">
        <v>268</v>
      </c>
      <c r="F13" s="337" t="s">
        <v>269</v>
      </c>
      <c r="G13" s="337" t="s">
        <v>270</v>
      </c>
      <c r="H13" s="337" t="s">
        <v>271</v>
      </c>
      <c r="I13" s="337" t="s">
        <v>272</v>
      </c>
      <c r="J13" s="337" t="s">
        <v>273</v>
      </c>
      <c r="K13" s="342" t="s">
        <v>274</v>
      </c>
      <c r="L13" s="337" t="s">
        <v>275</v>
      </c>
      <c r="M13" s="337" t="s">
        <v>276</v>
      </c>
      <c r="N13" s="19" t="s">
        <v>276</v>
      </c>
    </row>
    <row r="14" spans="1:30" ht="18" customHeight="1" thickBot="1" x14ac:dyDescent="0.2">
      <c r="A14" s="337" t="s">
        <v>277</v>
      </c>
      <c r="B14" s="337" t="s">
        <v>278</v>
      </c>
      <c r="C14" s="337" t="s">
        <v>279</v>
      </c>
      <c r="D14" s="342" t="s">
        <v>280</v>
      </c>
      <c r="E14" s="337" t="s">
        <v>280</v>
      </c>
      <c r="F14" s="337" t="s">
        <v>280</v>
      </c>
      <c r="G14" s="337" t="s">
        <v>281</v>
      </c>
      <c r="H14" s="337" t="s">
        <v>282</v>
      </c>
      <c r="I14" s="337" t="s">
        <v>280</v>
      </c>
      <c r="J14" s="337" t="s">
        <v>280</v>
      </c>
      <c r="K14" s="342" t="s">
        <v>283</v>
      </c>
      <c r="L14" s="337" t="s">
        <v>283</v>
      </c>
      <c r="M14" s="337" t="s">
        <v>284</v>
      </c>
      <c r="N14" s="19" t="s">
        <v>284</v>
      </c>
    </row>
    <row r="15" spans="1:30" ht="33" customHeight="1" thickBot="1" x14ac:dyDescent="0.2">
      <c r="A15" s="337" t="s">
        <v>285</v>
      </c>
      <c r="B15" s="337" t="s">
        <v>285</v>
      </c>
      <c r="C15" s="337" t="s">
        <v>286</v>
      </c>
      <c r="D15" s="342" t="s">
        <v>285</v>
      </c>
      <c r="E15" s="337" t="s">
        <v>285</v>
      </c>
      <c r="F15" s="337" t="s">
        <v>285</v>
      </c>
      <c r="G15" s="337" t="s">
        <v>285</v>
      </c>
      <c r="H15" s="337" t="s">
        <v>285</v>
      </c>
      <c r="I15" s="337" t="s">
        <v>285</v>
      </c>
      <c r="J15" s="337" t="s">
        <v>285</v>
      </c>
      <c r="K15" s="342" t="s">
        <v>285</v>
      </c>
      <c r="L15" s="337" t="s">
        <v>285</v>
      </c>
      <c r="M15" s="337" t="s">
        <v>287</v>
      </c>
      <c r="N15" s="19" t="s">
        <v>287</v>
      </c>
    </row>
    <row r="16" spans="1:30" ht="14.25" thickBot="1" x14ac:dyDescent="0.2">
      <c r="A16" s="337" t="s">
        <v>26</v>
      </c>
      <c r="B16" s="337" t="s">
        <v>26</v>
      </c>
      <c r="C16" s="337" t="s">
        <v>27</v>
      </c>
      <c r="D16" s="337" t="s">
        <v>26</v>
      </c>
      <c r="E16" s="337" t="s">
        <v>26</v>
      </c>
      <c r="F16" s="337" t="s">
        <v>26</v>
      </c>
      <c r="G16" s="338" t="s">
        <v>26</v>
      </c>
      <c r="H16" s="343" t="s">
        <v>26</v>
      </c>
      <c r="I16" s="344" t="s">
        <v>26</v>
      </c>
      <c r="J16" s="344" t="s">
        <v>26</v>
      </c>
      <c r="K16" s="344" t="s">
        <v>26</v>
      </c>
      <c r="L16" s="344" t="s">
        <v>26</v>
      </c>
      <c r="M16" s="345"/>
      <c r="N16" s="19"/>
    </row>
    <row r="17" spans="1:8" ht="98.25" customHeight="1" thickBot="1" x14ac:dyDescent="0.2">
      <c r="A17" s="1695" t="s">
        <v>28</v>
      </c>
      <c r="B17" s="1696"/>
      <c r="C17" s="1696"/>
      <c r="D17" s="1696"/>
      <c r="E17" s="1696"/>
      <c r="F17" s="1696"/>
      <c r="G17" s="1696"/>
      <c r="H17" s="1696"/>
    </row>
  </sheetData>
  <mergeCells count="2">
    <mergeCell ref="A17:H17"/>
    <mergeCell ref="X1:AD1"/>
  </mergeCells>
  <phoneticPr fontId="9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P18"/>
  <sheetViews>
    <sheetView workbookViewId="0">
      <selection activeCell="G19" sqref="G19"/>
    </sheetView>
  </sheetViews>
  <sheetFormatPr defaultRowHeight="13.5" x14ac:dyDescent="0.15"/>
  <cols>
    <col min="1" max="14" width="10" style="4" customWidth="1"/>
    <col min="15" max="16384" width="9" style="4"/>
  </cols>
  <sheetData>
    <row r="1" spans="1:14" ht="19.5" customHeight="1" thickBot="1" x14ac:dyDescent="0.2">
      <c r="A1" s="337" t="s">
        <v>441</v>
      </c>
      <c r="B1" s="337" t="s">
        <v>442</v>
      </c>
      <c r="C1" s="337" t="s">
        <v>443</v>
      </c>
      <c r="D1" s="342" t="s">
        <v>444</v>
      </c>
      <c r="E1" s="337" t="s">
        <v>445</v>
      </c>
      <c r="F1" s="337" t="s">
        <v>446</v>
      </c>
      <c r="G1" s="337" t="s">
        <v>447</v>
      </c>
      <c r="H1" s="337" t="s">
        <v>448</v>
      </c>
      <c r="I1" s="337" t="s">
        <v>449</v>
      </c>
      <c r="J1" s="337" t="s">
        <v>450</v>
      </c>
      <c r="K1" s="337" t="s">
        <v>451</v>
      </c>
      <c r="L1" s="337" t="s">
        <v>452</v>
      </c>
      <c r="M1" s="337" t="s">
        <v>453</v>
      </c>
      <c r="N1" s="340" t="s">
        <v>454</v>
      </c>
    </row>
    <row r="2" spans="1:14" ht="19.5" customHeight="1" thickBot="1" x14ac:dyDescent="0.2">
      <c r="A2" s="337" t="s">
        <v>547</v>
      </c>
      <c r="B2" s="337" t="s">
        <v>133</v>
      </c>
      <c r="C2" s="337" t="s">
        <v>548</v>
      </c>
      <c r="D2" s="342" t="s">
        <v>134</v>
      </c>
      <c r="E2" s="337" t="s">
        <v>455</v>
      </c>
      <c r="F2" s="337" t="s">
        <v>456</v>
      </c>
      <c r="G2" s="337" t="s">
        <v>457</v>
      </c>
      <c r="H2" s="337" t="s">
        <v>458</v>
      </c>
      <c r="I2" s="337" t="s">
        <v>459</v>
      </c>
      <c r="J2" s="337" t="s">
        <v>125</v>
      </c>
      <c r="K2" s="342" t="s">
        <v>126</v>
      </c>
      <c r="L2" s="337" t="s">
        <v>460</v>
      </c>
      <c r="M2" s="338" t="s">
        <v>461</v>
      </c>
      <c r="N2" s="339" t="s">
        <v>462</v>
      </c>
    </row>
    <row r="3" spans="1:14" ht="19.5" customHeight="1" thickBot="1" x14ac:dyDescent="0.2">
      <c r="A3" s="337" t="s">
        <v>549</v>
      </c>
      <c r="B3" s="337" t="s">
        <v>550</v>
      </c>
      <c r="C3" s="337" t="s">
        <v>551</v>
      </c>
      <c r="D3" s="342" t="s">
        <v>463</v>
      </c>
      <c r="E3" s="337" t="s">
        <v>464</v>
      </c>
      <c r="F3" s="337" t="s">
        <v>465</v>
      </c>
      <c r="G3" s="337" t="s">
        <v>466</v>
      </c>
      <c r="H3" s="337" t="s">
        <v>467</v>
      </c>
      <c r="I3" s="337" t="s">
        <v>468</v>
      </c>
      <c r="J3" s="337" t="s">
        <v>469</v>
      </c>
      <c r="K3" s="342" t="s">
        <v>470</v>
      </c>
      <c r="L3" s="337" t="s">
        <v>471</v>
      </c>
      <c r="M3" s="338" t="s">
        <v>472</v>
      </c>
      <c r="N3" s="339" t="s">
        <v>473</v>
      </c>
    </row>
    <row r="4" spans="1:14" ht="19.5" customHeight="1" thickBot="1" x14ac:dyDescent="0.2">
      <c r="A4" s="337" t="s">
        <v>552</v>
      </c>
      <c r="B4" s="337" t="s">
        <v>553</v>
      </c>
      <c r="C4" s="337" t="s">
        <v>554</v>
      </c>
      <c r="D4" s="342" t="s">
        <v>161</v>
      </c>
      <c r="E4" s="337" t="s">
        <v>162</v>
      </c>
      <c r="F4" s="337" t="s">
        <v>163</v>
      </c>
      <c r="G4" s="337" t="s">
        <v>474</v>
      </c>
      <c r="H4" s="337" t="s">
        <v>475</v>
      </c>
      <c r="I4" s="337" t="s">
        <v>476</v>
      </c>
      <c r="J4" s="337" t="s">
        <v>152</v>
      </c>
      <c r="K4" s="342" t="s">
        <v>477</v>
      </c>
      <c r="L4" s="337" t="s">
        <v>478</v>
      </c>
      <c r="M4" s="338" t="s">
        <v>479</v>
      </c>
      <c r="N4" s="339" t="s">
        <v>480</v>
      </c>
    </row>
    <row r="5" spans="1:14" ht="19.5" customHeight="1" thickBot="1" x14ac:dyDescent="0.2">
      <c r="A5" s="337" t="s">
        <v>555</v>
      </c>
      <c r="B5" s="337" t="s">
        <v>556</v>
      </c>
      <c r="C5" s="337" t="s">
        <v>557</v>
      </c>
      <c r="D5" s="342" t="s">
        <v>481</v>
      </c>
      <c r="E5" s="337" t="s">
        <v>175</v>
      </c>
      <c r="F5" s="337" t="s">
        <v>176</v>
      </c>
      <c r="G5" s="337" t="s">
        <v>482</v>
      </c>
      <c r="H5" s="337" t="s">
        <v>483</v>
      </c>
      <c r="I5" s="337" t="s">
        <v>484</v>
      </c>
      <c r="J5" s="337" t="s">
        <v>166</v>
      </c>
      <c r="K5" s="342" t="s">
        <v>485</v>
      </c>
      <c r="L5" s="337" t="s">
        <v>486</v>
      </c>
      <c r="M5" s="338" t="s">
        <v>487</v>
      </c>
      <c r="N5" s="339" t="s">
        <v>488</v>
      </c>
    </row>
    <row r="6" spans="1:14" ht="19.5" customHeight="1" thickBot="1" x14ac:dyDescent="0.2">
      <c r="A6" s="337" t="s">
        <v>558</v>
      </c>
      <c r="B6" s="337" t="s">
        <v>559</v>
      </c>
      <c r="C6" s="337" t="s">
        <v>558</v>
      </c>
      <c r="D6" s="342" t="s">
        <v>186</v>
      </c>
      <c r="E6" s="337" t="s">
        <v>187</v>
      </c>
      <c r="F6" s="337" t="s">
        <v>188</v>
      </c>
      <c r="G6" s="337" t="s">
        <v>489</v>
      </c>
      <c r="H6" s="337" t="s">
        <v>490</v>
      </c>
      <c r="I6" s="337" t="s">
        <v>491</v>
      </c>
      <c r="J6" s="337" t="s">
        <v>179</v>
      </c>
      <c r="K6" s="342" t="s">
        <v>492</v>
      </c>
      <c r="L6" s="337" t="s">
        <v>493</v>
      </c>
      <c r="M6" s="338" t="s">
        <v>489</v>
      </c>
      <c r="N6" s="339" t="s">
        <v>494</v>
      </c>
    </row>
    <row r="7" spans="1:14" ht="19.5" customHeight="1" thickBot="1" x14ac:dyDescent="0.2">
      <c r="A7" s="337" t="s">
        <v>560</v>
      </c>
      <c r="B7" s="337" t="s">
        <v>561</v>
      </c>
      <c r="C7" s="337" t="s">
        <v>194</v>
      </c>
      <c r="D7" s="342" t="s">
        <v>200</v>
      </c>
      <c r="E7" s="337" t="s">
        <v>201</v>
      </c>
      <c r="F7" s="337" t="s">
        <v>202</v>
      </c>
      <c r="G7" s="337" t="s">
        <v>495</v>
      </c>
      <c r="H7" s="337" t="s">
        <v>496</v>
      </c>
      <c r="I7" s="337" t="s">
        <v>497</v>
      </c>
      <c r="J7" s="337" t="s">
        <v>191</v>
      </c>
      <c r="K7" s="342" t="s">
        <v>498</v>
      </c>
      <c r="L7" s="337" t="s">
        <v>499</v>
      </c>
      <c r="M7" s="338" t="s">
        <v>500</v>
      </c>
      <c r="N7" s="339" t="s">
        <v>501</v>
      </c>
    </row>
    <row r="8" spans="1:14" ht="19.5" customHeight="1" thickBot="1" x14ac:dyDescent="0.2">
      <c r="A8" s="337" t="s">
        <v>562</v>
      </c>
      <c r="B8" s="337" t="s">
        <v>563</v>
      </c>
      <c r="C8" s="337" t="s">
        <v>564</v>
      </c>
      <c r="D8" s="342" t="s">
        <v>212</v>
      </c>
      <c r="E8" s="337" t="s">
        <v>213</v>
      </c>
      <c r="F8" s="337" t="s">
        <v>214</v>
      </c>
      <c r="G8" s="337" t="s">
        <v>502</v>
      </c>
      <c r="H8" s="337" t="s">
        <v>503</v>
      </c>
      <c r="I8" s="337" t="s">
        <v>78</v>
      </c>
      <c r="J8" s="337" t="s">
        <v>205</v>
      </c>
      <c r="K8" s="342" t="s">
        <v>504</v>
      </c>
      <c r="L8" s="337" t="s">
        <v>505</v>
      </c>
      <c r="M8" s="338" t="s">
        <v>506</v>
      </c>
      <c r="N8" s="339" t="s">
        <v>507</v>
      </c>
    </row>
    <row r="9" spans="1:14" ht="19.5" customHeight="1" thickBot="1" x14ac:dyDescent="0.2">
      <c r="A9" s="337" t="s">
        <v>509</v>
      </c>
      <c r="B9" s="337" t="s">
        <v>565</v>
      </c>
      <c r="C9" s="337" t="s">
        <v>566</v>
      </c>
      <c r="D9" s="342" t="s">
        <v>84</v>
      </c>
      <c r="E9" s="337" t="s">
        <v>223</v>
      </c>
      <c r="F9" s="337" t="s">
        <v>224</v>
      </c>
      <c r="G9" s="337" t="s">
        <v>508</v>
      </c>
      <c r="H9" s="337" t="s">
        <v>509</v>
      </c>
      <c r="I9" s="337" t="s">
        <v>510</v>
      </c>
      <c r="J9" s="337" t="s">
        <v>217</v>
      </c>
      <c r="K9" s="342" t="s">
        <v>509</v>
      </c>
      <c r="L9" s="337" t="s">
        <v>511</v>
      </c>
      <c r="M9" s="338" t="s">
        <v>512</v>
      </c>
      <c r="N9" s="339" t="s">
        <v>513</v>
      </c>
    </row>
    <row r="10" spans="1:14" ht="19.5" customHeight="1" thickBot="1" x14ac:dyDescent="0.2">
      <c r="A10" s="337" t="s">
        <v>567</v>
      </c>
      <c r="B10" s="337" t="s">
        <v>568</v>
      </c>
      <c r="C10" s="337" t="s">
        <v>569</v>
      </c>
      <c r="D10" s="342" t="s">
        <v>90</v>
      </c>
      <c r="E10" s="337" t="s">
        <v>236</v>
      </c>
      <c r="F10" s="337" t="s">
        <v>237</v>
      </c>
      <c r="G10" s="337" t="s">
        <v>514</v>
      </c>
      <c r="H10" s="337" t="s">
        <v>515</v>
      </c>
      <c r="I10" s="337" t="s">
        <v>516</v>
      </c>
      <c r="J10" s="337" t="s">
        <v>227</v>
      </c>
      <c r="K10" s="342" t="s">
        <v>515</v>
      </c>
      <c r="L10" s="337" t="s">
        <v>517</v>
      </c>
      <c r="M10" s="338" t="s">
        <v>518</v>
      </c>
      <c r="N10" s="339" t="s">
        <v>519</v>
      </c>
    </row>
    <row r="11" spans="1:14" ht="19.5" customHeight="1" thickBot="1" x14ac:dyDescent="0.2">
      <c r="A11" s="337" t="s">
        <v>522</v>
      </c>
      <c r="B11" s="337" t="s">
        <v>570</v>
      </c>
      <c r="C11" s="337" t="s">
        <v>571</v>
      </c>
      <c r="D11" s="342" t="s">
        <v>97</v>
      </c>
      <c r="E11" s="337" t="s">
        <v>520</v>
      </c>
      <c r="F11" s="337" t="s">
        <v>521</v>
      </c>
      <c r="G11" s="337" t="s">
        <v>522</v>
      </c>
      <c r="H11" s="337" t="s">
        <v>523</v>
      </c>
      <c r="I11" s="337" t="s">
        <v>524</v>
      </c>
      <c r="J11" s="337" t="s">
        <v>240</v>
      </c>
      <c r="K11" s="342" t="s">
        <v>525</v>
      </c>
      <c r="L11" s="337" t="s">
        <v>522</v>
      </c>
      <c r="M11" s="338" t="s">
        <v>526</v>
      </c>
      <c r="N11" s="339" t="s">
        <v>527</v>
      </c>
    </row>
    <row r="12" spans="1:14" ht="19.5" customHeight="1" thickBot="1" x14ac:dyDescent="0.2">
      <c r="A12" s="337" t="s">
        <v>529</v>
      </c>
      <c r="B12" s="337" t="s">
        <v>572</v>
      </c>
      <c r="C12" s="337" t="s">
        <v>263</v>
      </c>
      <c r="D12" s="342" t="s">
        <v>528</v>
      </c>
      <c r="E12" s="337" t="s">
        <v>263</v>
      </c>
      <c r="F12" s="337" t="s">
        <v>263</v>
      </c>
      <c r="G12" s="337" t="s">
        <v>529</v>
      </c>
      <c r="H12" s="337" t="s">
        <v>530</v>
      </c>
      <c r="I12" s="337" t="s">
        <v>531</v>
      </c>
      <c r="J12" s="337" t="s">
        <v>253</v>
      </c>
      <c r="K12" s="342" t="s">
        <v>532</v>
      </c>
      <c r="L12" s="337" t="s">
        <v>529</v>
      </c>
      <c r="M12" s="338" t="s">
        <v>528</v>
      </c>
      <c r="N12" s="339" t="s">
        <v>533</v>
      </c>
    </row>
    <row r="13" spans="1:14" ht="19.5" customHeight="1" thickBot="1" x14ac:dyDescent="0.2">
      <c r="A13" s="337" t="s">
        <v>274</v>
      </c>
      <c r="B13" s="337" t="s">
        <v>534</v>
      </c>
      <c r="C13" s="337" t="s">
        <v>276</v>
      </c>
      <c r="D13" s="342" t="s">
        <v>534</v>
      </c>
      <c r="E13" s="337" t="s">
        <v>276</v>
      </c>
      <c r="F13" s="337" t="s">
        <v>276</v>
      </c>
      <c r="G13" s="337" t="s">
        <v>535</v>
      </c>
      <c r="H13" s="337" t="s">
        <v>536</v>
      </c>
      <c r="I13" s="337" t="s">
        <v>537</v>
      </c>
      <c r="J13" s="337" t="s">
        <v>266</v>
      </c>
      <c r="K13" s="342" t="s">
        <v>538</v>
      </c>
      <c r="L13" s="337" t="s">
        <v>274</v>
      </c>
      <c r="M13" s="338" t="s">
        <v>534</v>
      </c>
      <c r="N13" s="339" t="s">
        <v>539</v>
      </c>
    </row>
    <row r="14" spans="1:14" ht="19.5" customHeight="1" thickBot="1" x14ac:dyDescent="0.2">
      <c r="A14" s="337" t="s">
        <v>541</v>
      </c>
      <c r="B14" s="337" t="s">
        <v>541</v>
      </c>
      <c r="C14" s="337" t="s">
        <v>284</v>
      </c>
      <c r="D14" s="342" t="s">
        <v>540</v>
      </c>
      <c r="E14" s="337" t="s">
        <v>284</v>
      </c>
      <c r="F14" s="337" t="s">
        <v>284</v>
      </c>
      <c r="G14" s="337" t="s">
        <v>541</v>
      </c>
      <c r="H14" s="337" t="s">
        <v>542</v>
      </c>
      <c r="I14" s="337" t="s">
        <v>283</v>
      </c>
      <c r="J14" s="337" t="s">
        <v>540</v>
      </c>
      <c r="K14" s="342" t="s">
        <v>542</v>
      </c>
      <c r="L14" s="337" t="s">
        <v>541</v>
      </c>
      <c r="M14" s="338" t="s">
        <v>542</v>
      </c>
      <c r="N14" s="339" t="s">
        <v>543</v>
      </c>
    </row>
    <row r="15" spans="1:14" ht="19.5" customHeight="1" thickBot="1" x14ac:dyDescent="0.2">
      <c r="A15" s="337" t="s">
        <v>545</v>
      </c>
      <c r="B15" s="337" t="s">
        <v>545</v>
      </c>
      <c r="C15" s="337" t="s">
        <v>573</v>
      </c>
      <c r="D15" s="342"/>
      <c r="E15" s="337"/>
      <c r="F15" s="337" t="s">
        <v>544</v>
      </c>
      <c r="G15" s="337" t="s">
        <v>545</v>
      </c>
      <c r="H15" s="337" t="s">
        <v>546</v>
      </c>
      <c r="I15" s="337" t="s">
        <v>546</v>
      </c>
      <c r="J15" s="337" t="s">
        <v>545</v>
      </c>
      <c r="K15" s="342" t="s">
        <v>546</v>
      </c>
      <c r="L15" s="337" t="s">
        <v>545</v>
      </c>
      <c r="M15" s="338" t="s">
        <v>545</v>
      </c>
      <c r="N15" s="339" t="s">
        <v>544</v>
      </c>
    </row>
    <row r="16" spans="1:14" ht="19.5" customHeight="1" thickBot="1" x14ac:dyDescent="0.2">
      <c r="A16" s="337" t="s">
        <v>436</v>
      </c>
      <c r="B16" s="337" t="s">
        <v>436</v>
      </c>
      <c r="C16" s="337"/>
      <c r="D16" s="337" t="s">
        <v>27</v>
      </c>
      <c r="E16" s="337" t="s">
        <v>27</v>
      </c>
      <c r="F16" s="337" t="s">
        <v>27</v>
      </c>
      <c r="G16" s="337" t="s">
        <v>436</v>
      </c>
      <c r="H16" s="337" t="s">
        <v>288</v>
      </c>
      <c r="I16" s="337" t="s">
        <v>288</v>
      </c>
      <c r="J16" s="337" t="s">
        <v>436</v>
      </c>
      <c r="K16" s="337" t="s">
        <v>288</v>
      </c>
      <c r="L16" s="337" t="s">
        <v>436</v>
      </c>
      <c r="M16" s="337" t="s">
        <v>436</v>
      </c>
      <c r="N16" s="337" t="s">
        <v>27</v>
      </c>
    </row>
    <row r="17" spans="1:16" ht="56.25" customHeight="1" x14ac:dyDescent="0.15">
      <c r="A17" s="1700" t="s">
        <v>437</v>
      </c>
      <c r="B17" s="1701"/>
      <c r="C17" s="1701"/>
      <c r="D17" s="1701"/>
      <c r="E17" s="1701"/>
      <c r="F17" s="1701"/>
      <c r="G17" s="1701"/>
      <c r="H17" s="1702"/>
      <c r="I17" s="1689" t="s">
        <v>439</v>
      </c>
      <c r="J17" s="1690"/>
      <c r="K17" s="1690"/>
      <c r="L17" s="1690"/>
      <c r="M17" s="1690"/>
      <c r="N17" s="1690"/>
      <c r="O17" s="1690"/>
      <c r="P17" s="1691"/>
    </row>
    <row r="18" spans="1:16" ht="22.5" customHeight="1" thickBot="1" x14ac:dyDescent="0.2">
      <c r="A18" s="1692" t="s">
        <v>438</v>
      </c>
      <c r="B18" s="1693"/>
      <c r="C18" s="1693"/>
      <c r="D18" s="1693"/>
      <c r="E18" s="1693"/>
      <c r="F18" s="1693"/>
      <c r="G18" s="1693"/>
      <c r="H18" s="1694"/>
      <c r="I18" s="1692" t="s">
        <v>440</v>
      </c>
      <c r="J18" s="1693"/>
      <c r="K18" s="1693"/>
      <c r="L18" s="1693"/>
      <c r="M18" s="1693"/>
      <c r="N18" s="1693"/>
      <c r="O18" s="1693"/>
      <c r="P18" s="1694"/>
    </row>
  </sheetData>
  <mergeCells count="4">
    <mergeCell ref="A17:H17"/>
    <mergeCell ref="A18:H18"/>
    <mergeCell ref="I17:P17"/>
    <mergeCell ref="I18:P18"/>
  </mergeCells>
  <phoneticPr fontId="9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K19"/>
  <sheetViews>
    <sheetView workbookViewId="0">
      <selection activeCell="B10" sqref="B10"/>
    </sheetView>
  </sheetViews>
  <sheetFormatPr defaultRowHeight="13.5" x14ac:dyDescent="0.15"/>
  <cols>
    <col min="1" max="1" width="11.875" style="4" customWidth="1"/>
    <col min="2" max="2" width="23" style="4" customWidth="1"/>
    <col min="3" max="9" width="9" style="4"/>
    <col min="10" max="10" width="19.75" style="4" customWidth="1"/>
    <col min="11" max="16384" width="9" style="4"/>
  </cols>
  <sheetData>
    <row r="1" spans="1:10" ht="23.25" thickBot="1" x14ac:dyDescent="0.2">
      <c r="A1" s="342" t="s">
        <v>294</v>
      </c>
      <c r="B1" s="337" t="s">
        <v>295</v>
      </c>
      <c r="C1" s="337" t="s">
        <v>296</v>
      </c>
      <c r="D1" s="337" t="s">
        <v>297</v>
      </c>
      <c r="E1" s="337" t="s">
        <v>298</v>
      </c>
      <c r="F1" s="337" t="s">
        <v>299</v>
      </c>
      <c r="G1" s="337" t="s">
        <v>434</v>
      </c>
      <c r="H1" s="337" t="s">
        <v>300</v>
      </c>
      <c r="I1" s="338" t="s">
        <v>301</v>
      </c>
      <c r="J1" s="339" t="s">
        <v>435</v>
      </c>
    </row>
    <row r="2" spans="1:10" ht="23.25" thickBot="1" x14ac:dyDescent="0.2">
      <c r="A2" s="346" t="s">
        <v>302</v>
      </c>
      <c r="B2" s="346" t="s">
        <v>303</v>
      </c>
      <c r="C2" s="337" t="s">
        <v>304</v>
      </c>
      <c r="D2" s="337" t="s">
        <v>305</v>
      </c>
      <c r="E2" s="337" t="s">
        <v>306</v>
      </c>
      <c r="F2" s="337" t="s">
        <v>307</v>
      </c>
      <c r="G2" s="337" t="s">
        <v>308</v>
      </c>
      <c r="H2" s="337" t="s">
        <v>309</v>
      </c>
      <c r="I2" s="338" t="s">
        <v>310</v>
      </c>
      <c r="J2" s="347" t="s">
        <v>311</v>
      </c>
    </row>
    <row r="3" spans="1:10" ht="23.25" thickBot="1" x14ac:dyDescent="0.2">
      <c r="A3" s="346" t="s">
        <v>312</v>
      </c>
      <c r="B3" s="346" t="s">
        <v>313</v>
      </c>
      <c r="C3" s="337" t="s">
        <v>314</v>
      </c>
      <c r="D3" s="337" t="s">
        <v>315</v>
      </c>
      <c r="E3" s="337" t="s">
        <v>316</v>
      </c>
      <c r="F3" s="337" t="s">
        <v>317</v>
      </c>
      <c r="G3" s="337" t="s">
        <v>318</v>
      </c>
      <c r="H3" s="337" t="s">
        <v>319</v>
      </c>
      <c r="I3" s="338" t="s">
        <v>320</v>
      </c>
      <c r="J3" s="347" t="s">
        <v>321</v>
      </c>
    </row>
    <row r="4" spans="1:10" ht="23.25" thickBot="1" x14ac:dyDescent="0.2">
      <c r="A4" s="346" t="s">
        <v>322</v>
      </c>
      <c r="B4" s="346" t="s">
        <v>323</v>
      </c>
      <c r="C4" s="337" t="s">
        <v>324</v>
      </c>
      <c r="D4" s="337" t="s">
        <v>325</v>
      </c>
      <c r="E4" s="337" t="s">
        <v>326</v>
      </c>
      <c r="F4" s="337" t="s">
        <v>327</v>
      </c>
      <c r="G4" s="337" t="s">
        <v>328</v>
      </c>
      <c r="H4" s="337" t="s">
        <v>329</v>
      </c>
      <c r="I4" s="338" t="s">
        <v>330</v>
      </c>
      <c r="J4" s="347" t="s">
        <v>331</v>
      </c>
    </row>
    <row r="5" spans="1:10" ht="23.25" thickBot="1" x14ac:dyDescent="0.2">
      <c r="A5" s="346" t="s">
        <v>332</v>
      </c>
      <c r="B5" s="346" t="s">
        <v>333</v>
      </c>
      <c r="C5" s="337" t="s">
        <v>334</v>
      </c>
      <c r="D5" s="337" t="s">
        <v>335</v>
      </c>
      <c r="E5" s="337" t="s">
        <v>336</v>
      </c>
      <c r="F5" s="337" t="s">
        <v>337</v>
      </c>
      <c r="G5" s="337" t="s">
        <v>338</v>
      </c>
      <c r="H5" s="337" t="s">
        <v>339</v>
      </c>
      <c r="I5" s="338" t="s">
        <v>340</v>
      </c>
      <c r="J5" s="347" t="s">
        <v>341</v>
      </c>
    </row>
    <row r="6" spans="1:10" ht="23.25" thickBot="1" x14ac:dyDescent="0.2">
      <c r="A6" s="346" t="s">
        <v>342</v>
      </c>
      <c r="B6" s="346" t="s">
        <v>343</v>
      </c>
      <c r="C6" s="337" t="s">
        <v>344</v>
      </c>
      <c r="D6" s="337" t="s">
        <v>345</v>
      </c>
      <c r="E6" s="337" t="s">
        <v>346</v>
      </c>
      <c r="F6" s="337" t="s">
        <v>347</v>
      </c>
      <c r="G6" s="337" t="s">
        <v>348</v>
      </c>
      <c r="H6" s="337" t="s">
        <v>349</v>
      </c>
      <c r="I6" s="338" t="s">
        <v>350</v>
      </c>
      <c r="J6" s="347" t="s">
        <v>351</v>
      </c>
    </row>
    <row r="7" spans="1:10" ht="23.25" thickBot="1" x14ac:dyDescent="0.2">
      <c r="A7" s="346" t="s">
        <v>352</v>
      </c>
      <c r="B7" s="346" t="s">
        <v>353</v>
      </c>
      <c r="C7" s="337" t="s">
        <v>354</v>
      </c>
      <c r="D7" s="337" t="s">
        <v>355</v>
      </c>
      <c r="E7" s="337" t="s">
        <v>356</v>
      </c>
      <c r="F7" s="337" t="s">
        <v>357</v>
      </c>
      <c r="G7" s="337" t="s">
        <v>358</v>
      </c>
      <c r="H7" s="337" t="s">
        <v>359</v>
      </c>
      <c r="I7" s="338" t="s">
        <v>360</v>
      </c>
      <c r="J7" s="347" t="s">
        <v>361</v>
      </c>
    </row>
    <row r="8" spans="1:10" ht="23.25" thickBot="1" x14ac:dyDescent="0.2">
      <c r="A8" s="346" t="s">
        <v>362</v>
      </c>
      <c r="B8" s="346" t="s">
        <v>363</v>
      </c>
      <c r="C8" s="337" t="s">
        <v>364</v>
      </c>
      <c r="D8" s="337" t="s">
        <v>365</v>
      </c>
      <c r="E8" s="337" t="s">
        <v>366</v>
      </c>
      <c r="F8" s="337" t="s">
        <v>367</v>
      </c>
      <c r="G8" s="337" t="s">
        <v>368</v>
      </c>
      <c r="H8" s="337" t="s">
        <v>369</v>
      </c>
      <c r="I8" s="338" t="s">
        <v>370</v>
      </c>
      <c r="J8" s="347" t="s">
        <v>371</v>
      </c>
    </row>
    <row r="9" spans="1:10" ht="23.25" thickBot="1" x14ac:dyDescent="0.2">
      <c r="A9" s="346" t="s">
        <v>372</v>
      </c>
      <c r="B9" s="346" t="s">
        <v>373</v>
      </c>
      <c r="C9" s="337" t="s">
        <v>374</v>
      </c>
      <c r="D9" s="337" t="s">
        <v>375</v>
      </c>
      <c r="E9" s="337" t="s">
        <v>376</v>
      </c>
      <c r="F9" s="337" t="s">
        <v>377</v>
      </c>
      <c r="G9" s="337" t="s">
        <v>378</v>
      </c>
      <c r="H9" s="337" t="s">
        <v>379</v>
      </c>
      <c r="I9" s="338" t="s">
        <v>380</v>
      </c>
      <c r="J9" s="347" t="s">
        <v>381</v>
      </c>
    </row>
    <row r="10" spans="1:10" ht="23.25" thickBot="1" x14ac:dyDescent="0.2">
      <c r="A10" s="346" t="s">
        <v>382</v>
      </c>
      <c r="B10" s="346" t="s">
        <v>383</v>
      </c>
      <c r="C10" s="337" t="s">
        <v>384</v>
      </c>
      <c r="D10" s="337" t="s">
        <v>385</v>
      </c>
      <c r="E10" s="337" t="s">
        <v>386</v>
      </c>
      <c r="F10" s="337" t="s">
        <v>382</v>
      </c>
      <c r="G10" s="337" t="s">
        <v>387</v>
      </c>
      <c r="H10" s="337" t="s">
        <v>388</v>
      </c>
      <c r="I10" s="338" t="s">
        <v>389</v>
      </c>
      <c r="J10" s="347" t="s">
        <v>390</v>
      </c>
    </row>
    <row r="11" spans="1:10" ht="23.25" thickBot="1" x14ac:dyDescent="0.2">
      <c r="A11" s="346" t="s">
        <v>391</v>
      </c>
      <c r="B11" s="346" t="s">
        <v>392</v>
      </c>
      <c r="C11" s="337" t="s">
        <v>393</v>
      </c>
      <c r="D11" s="337" t="s">
        <v>392</v>
      </c>
      <c r="E11" s="337" t="s">
        <v>394</v>
      </c>
      <c r="F11" s="337" t="s">
        <v>391</v>
      </c>
      <c r="G11" s="337" t="s">
        <v>395</v>
      </c>
      <c r="H11" s="337" t="s">
        <v>396</v>
      </c>
      <c r="I11" s="338" t="s">
        <v>397</v>
      </c>
      <c r="J11" s="347" t="s">
        <v>398</v>
      </c>
    </row>
    <row r="12" spans="1:10" ht="23.25" thickBot="1" x14ac:dyDescent="0.2">
      <c r="A12" s="346" t="s">
        <v>399</v>
      </c>
      <c r="B12" s="346" t="s">
        <v>400</v>
      </c>
      <c r="C12" s="337" t="s">
        <v>401</v>
      </c>
      <c r="D12" s="337" t="s">
        <v>402</v>
      </c>
      <c r="E12" s="337" t="s">
        <v>403</v>
      </c>
      <c r="F12" s="337" t="s">
        <v>404</v>
      </c>
      <c r="G12" s="337" t="s">
        <v>405</v>
      </c>
      <c r="H12" s="337" t="s">
        <v>406</v>
      </c>
      <c r="I12" s="338" t="s">
        <v>407</v>
      </c>
      <c r="J12" s="347" t="s">
        <v>408</v>
      </c>
    </row>
    <row r="13" spans="1:10" ht="23.25" thickBot="1" x14ac:dyDescent="0.2">
      <c r="A13" s="346" t="s">
        <v>409</v>
      </c>
      <c r="B13" s="346" t="s">
        <v>410</v>
      </c>
      <c r="C13" s="337" t="s">
        <v>411</v>
      </c>
      <c r="D13" s="337" t="s">
        <v>412</v>
      </c>
      <c r="E13" s="337" t="s">
        <v>413</v>
      </c>
      <c r="F13" s="337" t="s">
        <v>414</v>
      </c>
      <c r="G13" s="337" t="s">
        <v>415</v>
      </c>
      <c r="H13" s="337" t="s">
        <v>416</v>
      </c>
      <c r="I13" s="338" t="s">
        <v>417</v>
      </c>
      <c r="J13" s="347" t="s">
        <v>418</v>
      </c>
    </row>
    <row r="14" spans="1:10" ht="23.25" thickBot="1" x14ac:dyDescent="0.2">
      <c r="A14" s="346" t="s">
        <v>419</v>
      </c>
      <c r="B14" s="346" t="s">
        <v>420</v>
      </c>
      <c r="C14" s="337" t="s">
        <v>419</v>
      </c>
      <c r="D14" s="337" t="s">
        <v>421</v>
      </c>
      <c r="E14" s="337" t="s">
        <v>422</v>
      </c>
      <c r="F14" s="337" t="s">
        <v>420</v>
      </c>
      <c r="G14" s="337" t="s">
        <v>421</v>
      </c>
      <c r="H14" s="337" t="s">
        <v>423</v>
      </c>
      <c r="I14" s="338" t="s">
        <v>421</v>
      </c>
      <c r="J14" s="347" t="s">
        <v>424</v>
      </c>
    </row>
    <row r="15" spans="1:10" ht="34.5" thickBot="1" x14ac:dyDescent="0.2">
      <c r="A15" s="346" t="s">
        <v>425</v>
      </c>
      <c r="B15" s="346" t="s">
        <v>426</v>
      </c>
      <c r="C15" s="337" t="s">
        <v>427</v>
      </c>
      <c r="D15" s="337" t="s">
        <v>425</v>
      </c>
      <c r="E15" s="337" t="s">
        <v>428</v>
      </c>
      <c r="F15" s="337" t="s">
        <v>428</v>
      </c>
      <c r="G15" s="337" t="s">
        <v>428</v>
      </c>
      <c r="H15" s="337" t="s">
        <v>428</v>
      </c>
      <c r="I15" s="338" t="s">
        <v>428</v>
      </c>
      <c r="J15" s="347" t="s">
        <v>426</v>
      </c>
    </row>
    <row r="16" spans="1:10" ht="14.25" thickBot="1" x14ac:dyDescent="0.2">
      <c r="A16" s="342" t="s">
        <v>26</v>
      </c>
      <c r="B16" s="337" t="s">
        <v>26</v>
      </c>
      <c r="C16" s="337" t="s">
        <v>288</v>
      </c>
      <c r="D16" s="337" t="s">
        <v>26</v>
      </c>
      <c r="E16" s="337" t="s">
        <v>26</v>
      </c>
      <c r="F16" s="337" t="s">
        <v>26</v>
      </c>
      <c r="G16" s="337" t="s">
        <v>26</v>
      </c>
      <c r="H16" s="337" t="s">
        <v>26</v>
      </c>
      <c r="I16" s="337" t="s">
        <v>26</v>
      </c>
      <c r="J16" s="337" t="s">
        <v>26</v>
      </c>
    </row>
    <row r="17" spans="1:11" ht="14.25" thickBot="1" x14ac:dyDescent="0.2">
      <c r="A17" s="346" t="s">
        <v>289</v>
      </c>
      <c r="B17" s="337" t="s">
        <v>290</v>
      </c>
      <c r="C17" s="337" t="s">
        <v>291</v>
      </c>
      <c r="D17" s="337" t="s">
        <v>291</v>
      </c>
      <c r="E17" s="337" t="s">
        <v>290</v>
      </c>
      <c r="F17" s="337" t="s">
        <v>290</v>
      </c>
      <c r="G17" s="337" t="s">
        <v>291</v>
      </c>
      <c r="H17" s="337" t="s">
        <v>289</v>
      </c>
      <c r="I17" s="337" t="s">
        <v>289</v>
      </c>
      <c r="J17" s="337" t="s">
        <v>290</v>
      </c>
    </row>
    <row r="18" spans="1:11" ht="45" customHeight="1" x14ac:dyDescent="0.15">
      <c r="A18" s="1700" t="s">
        <v>292</v>
      </c>
      <c r="B18" s="1701"/>
      <c r="C18" s="1701"/>
      <c r="D18" s="1701"/>
      <c r="E18" s="1701"/>
      <c r="F18" s="1701"/>
      <c r="G18" s="1701"/>
      <c r="H18" s="1701"/>
      <c r="I18" s="1701"/>
      <c r="J18" s="1701"/>
      <c r="K18" s="1702"/>
    </row>
    <row r="19" spans="1:11" ht="14.25" thickBot="1" x14ac:dyDescent="0.2">
      <c r="A19" s="1692" t="s">
        <v>293</v>
      </c>
      <c r="B19" s="1693"/>
      <c r="C19" s="1693"/>
      <c r="D19" s="1693"/>
      <c r="E19" s="1693"/>
      <c r="F19" s="1693"/>
      <c r="G19" s="1693"/>
      <c r="H19" s="1693"/>
      <c r="I19" s="1693"/>
      <c r="J19" s="1693"/>
      <c r="K19" s="1694"/>
    </row>
  </sheetData>
  <mergeCells count="2">
    <mergeCell ref="A18:K18"/>
    <mergeCell ref="A19:K19"/>
  </mergeCells>
  <phoneticPr fontId="9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O9"/>
  <sheetViews>
    <sheetView workbookViewId="0">
      <selection activeCell="C10" sqref="C10"/>
    </sheetView>
  </sheetViews>
  <sheetFormatPr defaultRowHeight="13.5" x14ac:dyDescent="0.15"/>
  <cols>
    <col min="1" max="1" width="12.5" style="4" customWidth="1"/>
    <col min="2" max="2" width="9" style="4"/>
    <col min="3" max="3" width="12.5" style="4" customWidth="1"/>
    <col min="4" max="4" width="12.75" style="4" customWidth="1"/>
    <col min="5" max="16384" width="9" style="4"/>
  </cols>
  <sheetData>
    <row r="1" spans="1:15" x14ac:dyDescent="0.15">
      <c r="A1" s="5" t="s">
        <v>429</v>
      </c>
      <c r="B1" s="5" t="s">
        <v>430</v>
      </c>
      <c r="C1" s="5" t="s">
        <v>431</v>
      </c>
      <c r="D1" s="5" t="s">
        <v>432</v>
      </c>
      <c r="E1" s="5" t="s">
        <v>574</v>
      </c>
    </row>
    <row r="2" spans="1:15" ht="23.25" thickBot="1" x14ac:dyDescent="0.2">
      <c r="A2" s="5" t="s">
        <v>430</v>
      </c>
      <c r="B2" s="342" t="s">
        <v>294</v>
      </c>
      <c r="C2" s="337" t="s">
        <v>295</v>
      </c>
      <c r="D2" s="337" t="s">
        <v>296</v>
      </c>
      <c r="E2" s="337" t="s">
        <v>297</v>
      </c>
      <c r="F2" s="337" t="s">
        <v>578</v>
      </c>
      <c r="G2" s="337" t="s">
        <v>299</v>
      </c>
      <c r="H2" s="337" t="s">
        <v>434</v>
      </c>
      <c r="I2" s="337" t="s">
        <v>300</v>
      </c>
      <c r="J2" s="338" t="s">
        <v>301</v>
      </c>
      <c r="K2" s="339" t="s">
        <v>435</v>
      </c>
    </row>
    <row r="3" spans="1:15" ht="23.25" thickBot="1" x14ac:dyDescent="0.2">
      <c r="A3" s="5" t="s">
        <v>431</v>
      </c>
      <c r="B3" s="337" t="s">
        <v>122</v>
      </c>
      <c r="C3" s="337" t="s">
        <v>110</v>
      </c>
      <c r="D3" s="337" t="s">
        <v>111</v>
      </c>
      <c r="E3" s="337" t="s">
        <v>112</v>
      </c>
      <c r="F3" s="337" t="s">
        <v>579</v>
      </c>
      <c r="G3" s="337" t="s">
        <v>114</v>
      </c>
      <c r="H3" s="337" t="s">
        <v>433</v>
      </c>
      <c r="I3" s="335" t="s">
        <v>115</v>
      </c>
      <c r="J3" s="337" t="s">
        <v>116</v>
      </c>
      <c r="K3" s="337" t="s">
        <v>117</v>
      </c>
      <c r="L3" s="337" t="s">
        <v>118</v>
      </c>
      <c r="M3" s="337" t="s">
        <v>119</v>
      </c>
      <c r="N3" s="337" t="s">
        <v>120</v>
      </c>
      <c r="O3" s="340" t="s">
        <v>121</v>
      </c>
    </row>
    <row r="4" spans="1:15" ht="23.25" thickBot="1" x14ac:dyDescent="0.2">
      <c r="A4" s="5" t="s">
        <v>432</v>
      </c>
      <c r="B4" s="335" t="s">
        <v>104</v>
      </c>
      <c r="C4" s="335" t="s">
        <v>105</v>
      </c>
      <c r="D4" s="336" t="s">
        <v>106</v>
      </c>
      <c r="E4" s="335" t="s">
        <v>581</v>
      </c>
      <c r="F4" s="335" t="s">
        <v>107</v>
      </c>
      <c r="G4" s="335" t="s">
        <v>109</v>
      </c>
      <c r="H4" s="335" t="s">
        <v>108</v>
      </c>
    </row>
    <row r="5" spans="1:15" ht="23.25" thickBot="1" x14ac:dyDescent="0.2">
      <c r="A5" s="5" t="s">
        <v>574</v>
      </c>
      <c r="B5" s="337" t="s">
        <v>441</v>
      </c>
      <c r="C5" s="337" t="s">
        <v>442</v>
      </c>
      <c r="D5" s="337" t="s">
        <v>443</v>
      </c>
      <c r="E5" s="342" t="s">
        <v>444</v>
      </c>
      <c r="F5" s="337" t="s">
        <v>445</v>
      </c>
      <c r="G5" s="337" t="s">
        <v>446</v>
      </c>
      <c r="H5" s="337" t="s">
        <v>447</v>
      </c>
      <c r="I5" s="337" t="s">
        <v>448</v>
      </c>
      <c r="J5" s="337" t="s">
        <v>449</v>
      </c>
      <c r="K5" s="337" t="s">
        <v>450</v>
      </c>
      <c r="L5" s="337" t="s">
        <v>451</v>
      </c>
      <c r="M5" s="337" t="s">
        <v>580</v>
      </c>
      <c r="N5" s="337" t="s">
        <v>453</v>
      </c>
      <c r="O5" s="340" t="s">
        <v>454</v>
      </c>
    </row>
    <row r="9" spans="1:15" x14ac:dyDescent="0.15">
      <c r="A9" s="5" t="s">
        <v>575</v>
      </c>
    </row>
  </sheetData>
  <phoneticPr fontId="9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TreeVolume Sample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Printed>2026-10-09T01:43:44Z</cp:lastPrinted>
  <dcterms:created xsi:type="dcterms:W3CDTF">2019-02-12T01:16:00Z</dcterms:created>
  <dcterms:modified xsi:type="dcterms:W3CDTF">2026-10-10T08:36:37Z</dcterms:modified>
</cp:coreProperties>
</file>